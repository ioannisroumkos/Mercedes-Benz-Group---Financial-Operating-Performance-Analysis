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ml.chartshapes+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ml.chartshapes+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5.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sers\Johnny Data\Documents\PROJECTS\Mercedes Benz Group - Financial &amp; Operating Performance Analysis\"/>
    </mc:Choice>
  </mc:AlternateContent>
  <xr:revisionPtr revIDLastSave="0" documentId="13_ncr:1_{439B8616-804B-4FED-A2FA-75D486CE1C92}" xr6:coauthVersionLast="47" xr6:coauthVersionMax="47" xr10:uidLastSave="{00000000-0000-0000-0000-000000000000}"/>
  <bookViews>
    <workbookView xWindow="-120" yWindow="-120" windowWidth="29040" windowHeight="16440" xr2:uid="{00000000-000D-0000-FFFF-FFFF00000000}"/>
  </bookViews>
  <sheets>
    <sheet name="Cover" sheetId="18" r:id="rId1"/>
    <sheet name="Dashboard" sheetId="1" r:id="rId2"/>
    <sheet name="Statement of Income" sheetId="11" r:id="rId3"/>
    <sheet name="Statement of Financial Position" sheetId="12" r:id="rId4"/>
    <sheet name="Statement of Cash Flows" sheetId="13" r:id="rId5"/>
    <sheet name="Segment Analysis" sheetId="14" r:id="rId6"/>
    <sheet name="Mobility Analysis" sheetId="15" r:id="rId7"/>
    <sheet name="Capital Intensity" sheetId="16" r:id="rId8"/>
    <sheet name="ROIC Analysis" sheetId="17" r:id="rId9"/>
    <sheet name="Operating Data" sheetId="20" r:id="rId10"/>
    <sheet name="Peer Comparison" sheetId="22" r:id="rId11"/>
    <sheet name="Outlook &amp; Valuation" sheetId="23" r:id="rId12"/>
  </sheets>
  <definedNames>
    <definedName name="_xlchart.v1.0" hidden="1">'Operating Data'!$C$24:$C$32</definedName>
    <definedName name="_xlchart.v1.1" hidden="1">'Operating Data'!$M$24:$M$32</definedName>
    <definedName name="_xlnm.Print_Area" localSheetId="7">'Capital Intensity'!$B$2:$M$37,'Capital Intensity'!$B$39:$M$71</definedName>
    <definedName name="_xlnm.Print_Area" localSheetId="0">Cover!$B$2:$M$36</definedName>
    <definedName name="_xlnm.Print_Area" localSheetId="1">Dashboard!$B$2:$M$23</definedName>
    <definedName name="_xlnm.Print_Area" localSheetId="6">'Mobility Analysis'!$B$2:$M$24,'Mobility Analysis'!$B$27:$M$54</definedName>
    <definedName name="_xlnm.Print_Area" localSheetId="9">'Operating Data'!$B$4:$M$34,'Operating Data'!$B$37:$M$69,'Operating Data'!$B$71:$M$99,'Operating Data'!$B$102:$M$130,'Operating Data'!$B$133:$M$166,'Operating Data'!$B$168:$M$196,'Operating Data'!$B$199:$M$227,'Operating Data'!$B$230:$M$258,'Operating Data'!$B$261:$M$289,'Operating Data'!$B$292:$M$321,'Operating Data'!$B$323:$M$352</definedName>
    <definedName name="_xlnm.Print_Area" localSheetId="11">'Outlook &amp; Valuation'!$B$4:$M$28,'Outlook &amp; Valuation'!$B$31:$M$59</definedName>
    <definedName name="_xlnm.Print_Area" localSheetId="10">'Peer Comparison'!$B$4:$M$27,'Peer Comparison'!$B$30:$M$58,'Peer Comparison'!$B$60:$M$88</definedName>
    <definedName name="_xlnm.Print_Area" localSheetId="8">'ROIC Analysis'!$B$4:$M$33,'ROIC Analysis'!$B$35:$M$64</definedName>
    <definedName name="_xlnm.Print_Area" localSheetId="5">'Segment Analysis'!$B$4:$M$36,'Segment Analysis'!$B$38:$M$65,'Segment Analysis'!$B$68:$M$95,'Segment Analysis'!$B$98:$M$126,'Segment Analysis'!$B$128:$M$156,'Segment Analysis'!$B$158:$M$185,'Segment Analysis'!$B$188:$M$215</definedName>
    <definedName name="_xlnm.Print_Area" localSheetId="4">'Statement of Cash Flows'!$B$2:$M$33,'Statement of Cash Flows'!$B$34:$M$55</definedName>
    <definedName name="_xlnm.Print_Area" localSheetId="3">'Statement of Financial Position'!$B$2:$M$30,'Statement of Financial Position'!$B$32:$M$63</definedName>
    <definedName name="_xlnm.Print_Area" localSheetId="2">'Statement of Income'!$B$2:$M$34</definedName>
    <definedName name="_xlnm.Print_Titles" localSheetId="7">'Capital Intensity'!$2:$3</definedName>
    <definedName name="_xlnm.Print_Titles" localSheetId="6">'Mobility Analysis'!$2:$3</definedName>
    <definedName name="_xlnm.Print_Titles" localSheetId="9">'Operating Data'!$2:$3</definedName>
    <definedName name="_xlnm.Print_Titles" localSheetId="11">'Outlook &amp; Valuation'!$2:$3</definedName>
    <definedName name="_xlnm.Print_Titles" localSheetId="10">'Peer Comparison'!$2:$3</definedName>
    <definedName name="_xlnm.Print_Titles" localSheetId="8">'ROIC Analysis'!$2:$3</definedName>
    <definedName name="_xlnm.Print_Titles" localSheetId="5">'Segment Analysis'!$2:$3</definedName>
    <definedName name="_xlnm.Print_Titles" localSheetId="4">'Statement of Cash Flows'!$2:$6</definedName>
    <definedName name="_xlnm.Print_Titles" localSheetId="3">'Statement of Financial Position'!$2:$6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4" i="1" l="1"/>
  <c r="K14" i="1"/>
  <c r="L14" i="1"/>
  <c r="M14" i="1"/>
  <c r="I14" i="1"/>
  <c r="J11" i="11"/>
  <c r="K11" i="11"/>
  <c r="L11" i="11"/>
  <c r="M11" i="11"/>
  <c r="K9" i="23"/>
  <c r="M9" i="23" s="1"/>
  <c r="J9" i="23"/>
  <c r="L9" i="23" s="1"/>
  <c r="K8" i="23"/>
  <c r="M8" i="23" s="1"/>
  <c r="J8" i="23"/>
  <c r="L8" i="23" s="1"/>
  <c r="S75" i="14" l="1"/>
  <c r="T75" i="14"/>
  <c r="U75" i="14"/>
  <c r="V75" i="14"/>
  <c r="R75" i="14"/>
  <c r="V74" i="14"/>
  <c r="U74" i="14"/>
  <c r="T74" i="14"/>
  <c r="S74" i="14"/>
  <c r="R74" i="14"/>
  <c r="S44" i="14" l="1"/>
  <c r="T44" i="14"/>
  <c r="U44" i="14"/>
  <c r="V44" i="14"/>
  <c r="S45" i="14"/>
  <c r="T45" i="14"/>
  <c r="U45" i="14"/>
  <c r="U49" i="14" s="1"/>
  <c r="V45" i="14"/>
  <c r="V49" i="14" s="1"/>
  <c r="R45" i="14"/>
  <c r="R49" i="14" s="1"/>
  <c r="R44" i="14"/>
  <c r="R48" i="14" s="1"/>
  <c r="R43" i="14"/>
  <c r="R47" i="14" s="1"/>
  <c r="V48" i="14" l="1"/>
  <c r="U48" i="14"/>
  <c r="T49" i="14"/>
  <c r="S48" i="14"/>
  <c r="S49" i="14"/>
  <c r="T48" i="14"/>
  <c r="V133" i="14"/>
  <c r="S133" i="14"/>
  <c r="U73" i="14"/>
  <c r="U162" i="14" s="1"/>
  <c r="U133" i="14"/>
  <c r="T133" i="14"/>
  <c r="V73" i="14"/>
  <c r="V162" i="14" s="1"/>
  <c r="T73" i="14"/>
  <c r="T162" i="14" s="1"/>
  <c r="S73" i="14"/>
  <c r="S162" i="14" s="1"/>
  <c r="R73" i="14"/>
  <c r="R162" i="14" s="1"/>
  <c r="R133" i="14"/>
  <c r="M9" i="22"/>
  <c r="J6" i="22"/>
  <c r="K6" i="22" s="1"/>
  <c r="L6" i="22" s="1"/>
  <c r="M6" i="22" s="1"/>
  <c r="M66" i="20"/>
  <c r="L66" i="20"/>
  <c r="M65" i="20"/>
  <c r="L65" i="20"/>
  <c r="S303" i="20"/>
  <c r="R303" i="20"/>
  <c r="R305" i="20"/>
  <c r="S305" i="20"/>
  <c r="S304" i="20"/>
  <c r="R304" i="20"/>
  <c r="M64" i="20"/>
  <c r="L64" i="20"/>
  <c r="M63" i="20"/>
  <c r="L63" i="20"/>
  <c r="J50" i="20"/>
  <c r="K50" i="20"/>
  <c r="L50" i="20"/>
  <c r="M50" i="20"/>
  <c r="I50" i="20"/>
  <c r="J17" i="1"/>
  <c r="K17" i="1"/>
  <c r="L17" i="1"/>
  <c r="M17" i="1"/>
  <c r="I17" i="1"/>
  <c r="J49" i="20"/>
  <c r="J55" i="20" s="1"/>
  <c r="K49" i="20"/>
  <c r="L49" i="20"/>
  <c r="M49" i="20"/>
  <c r="J51" i="20"/>
  <c r="K51" i="20"/>
  <c r="L51" i="20"/>
  <c r="M51" i="20"/>
  <c r="I51" i="20"/>
  <c r="I49" i="20"/>
  <c r="J47" i="20"/>
  <c r="K47" i="20"/>
  <c r="L47" i="20"/>
  <c r="M47" i="20"/>
  <c r="I47" i="20"/>
  <c r="J39" i="20"/>
  <c r="K39" i="20" s="1"/>
  <c r="L39" i="20" s="1"/>
  <c r="M39" i="20" s="1"/>
  <c r="J19" i="1"/>
  <c r="K19" i="1"/>
  <c r="L19" i="1"/>
  <c r="M19" i="1"/>
  <c r="I19" i="1"/>
  <c r="J6" i="20"/>
  <c r="K6" i="20" s="1"/>
  <c r="L6" i="20" s="1"/>
  <c r="M6" i="20" s="1"/>
  <c r="S137" i="20" s="1"/>
  <c r="M15" i="20"/>
  <c r="S142" i="20" s="1"/>
  <c r="L15" i="20"/>
  <c r="R142" i="20" s="1"/>
  <c r="M13" i="20"/>
  <c r="L13" i="20"/>
  <c r="S138" i="20"/>
  <c r="R138" i="20"/>
  <c r="S168" i="14"/>
  <c r="T168" i="14"/>
  <c r="U168" i="14"/>
  <c r="V168" i="14"/>
  <c r="R168" i="14"/>
  <c r="R167" i="14"/>
  <c r="M24" i="20"/>
  <c r="M32" i="20" s="1"/>
  <c r="M19" i="20"/>
  <c r="M18" i="20"/>
  <c r="M20" i="20"/>
  <c r="S163" i="14"/>
  <c r="T163" i="14"/>
  <c r="U163" i="14"/>
  <c r="V163" i="14"/>
  <c r="S164" i="14"/>
  <c r="T164" i="14"/>
  <c r="U164" i="14"/>
  <c r="V164" i="14"/>
  <c r="S167" i="14"/>
  <c r="T167" i="14"/>
  <c r="U167" i="14"/>
  <c r="V167" i="14"/>
  <c r="R164" i="14"/>
  <c r="R163" i="14"/>
  <c r="J20" i="16"/>
  <c r="K20" i="16"/>
  <c r="J19" i="16"/>
  <c r="K19" i="16"/>
  <c r="L19" i="16"/>
  <c r="M19" i="16"/>
  <c r="I19" i="16"/>
  <c r="J11" i="1"/>
  <c r="J12" i="1" s="1"/>
  <c r="K11" i="1"/>
  <c r="K12" i="1" s="1"/>
  <c r="L11" i="1"/>
  <c r="L12" i="1" s="1"/>
  <c r="M11" i="1"/>
  <c r="M12" i="1" s="1"/>
  <c r="I11" i="1"/>
  <c r="I12" i="1" s="1"/>
  <c r="M30" i="16"/>
  <c r="L30" i="16"/>
  <c r="K30" i="16"/>
  <c r="J30" i="16"/>
  <c r="I30" i="16"/>
  <c r="J15" i="1"/>
  <c r="K15" i="1"/>
  <c r="L15" i="1"/>
  <c r="M15" i="1"/>
  <c r="I15" i="1"/>
  <c r="I33" i="11"/>
  <c r="J18" i="1"/>
  <c r="K18" i="1"/>
  <c r="L18" i="1"/>
  <c r="M18" i="1"/>
  <c r="I18" i="1"/>
  <c r="J23" i="14"/>
  <c r="K23" i="14"/>
  <c r="L23" i="14"/>
  <c r="M23" i="14"/>
  <c r="I23" i="14"/>
  <c r="J25" i="14"/>
  <c r="K25" i="14"/>
  <c r="L25" i="14"/>
  <c r="M25" i="14"/>
  <c r="I25" i="14"/>
  <c r="J24" i="14"/>
  <c r="J29" i="14" s="1"/>
  <c r="K24" i="14"/>
  <c r="K29" i="14" s="1"/>
  <c r="L24" i="14"/>
  <c r="L29" i="14" s="1"/>
  <c r="L34" i="14" s="1"/>
  <c r="M24" i="14"/>
  <c r="M29" i="14" s="1"/>
  <c r="I24" i="14"/>
  <c r="I29" i="14" s="1"/>
  <c r="M31" i="14"/>
  <c r="I31" i="14"/>
  <c r="I13" i="1"/>
  <c r="I32" i="11"/>
  <c r="M23" i="17"/>
  <c r="L23" i="17"/>
  <c r="J10" i="17"/>
  <c r="J12" i="17" s="1"/>
  <c r="J16" i="17" s="1"/>
  <c r="K10" i="17"/>
  <c r="K12" i="17" s="1"/>
  <c r="K16" i="17" s="1"/>
  <c r="L10" i="17"/>
  <c r="L12" i="17" s="1"/>
  <c r="M10" i="17"/>
  <c r="M12" i="17" s="1"/>
  <c r="I10" i="17"/>
  <c r="I12" i="17" s="1"/>
  <c r="I16" i="17" s="1"/>
  <c r="J6" i="17"/>
  <c r="K6" i="17" s="1"/>
  <c r="L6" i="17" s="1"/>
  <c r="M6" i="17" s="1"/>
  <c r="M28" i="16"/>
  <c r="M9" i="17" s="1"/>
  <c r="L28" i="16"/>
  <c r="L35" i="16" s="1"/>
  <c r="K28" i="16"/>
  <c r="K9" i="17" s="1"/>
  <c r="K15" i="17" s="1"/>
  <c r="J28" i="16"/>
  <c r="J9" i="17" s="1"/>
  <c r="J15" i="17" s="1"/>
  <c r="I28" i="16"/>
  <c r="I35" i="16" s="1"/>
  <c r="J9" i="16"/>
  <c r="K9" i="16"/>
  <c r="L9" i="16"/>
  <c r="M9" i="16"/>
  <c r="I9" i="16"/>
  <c r="M23" i="16"/>
  <c r="L23" i="16"/>
  <c r="K23" i="16"/>
  <c r="J23" i="16"/>
  <c r="I23" i="16"/>
  <c r="J17" i="16"/>
  <c r="K17" i="16"/>
  <c r="L17" i="16"/>
  <c r="M17" i="16"/>
  <c r="I17" i="16"/>
  <c r="J11" i="16"/>
  <c r="K11" i="16"/>
  <c r="L11" i="16"/>
  <c r="L20" i="16" s="1"/>
  <c r="M11" i="16"/>
  <c r="M20" i="16" s="1"/>
  <c r="I11" i="16"/>
  <c r="I20" i="16" s="1"/>
  <c r="J16" i="1"/>
  <c r="K16" i="1"/>
  <c r="L16" i="1"/>
  <c r="M16" i="1"/>
  <c r="I16" i="1"/>
  <c r="J6" i="16"/>
  <c r="K6" i="16" s="1"/>
  <c r="L6" i="16" s="1"/>
  <c r="M6" i="16" s="1"/>
  <c r="J6" i="15"/>
  <c r="K6" i="15" s="1"/>
  <c r="L6" i="15" s="1"/>
  <c r="M6" i="15" s="1"/>
  <c r="J6" i="14"/>
  <c r="J49" i="13"/>
  <c r="K49" i="13"/>
  <c r="L49" i="13"/>
  <c r="M49" i="13"/>
  <c r="I49" i="13"/>
  <c r="J42" i="13"/>
  <c r="K42" i="13"/>
  <c r="L42" i="13"/>
  <c r="M42" i="13"/>
  <c r="I42" i="13"/>
  <c r="J33" i="13"/>
  <c r="K33" i="13"/>
  <c r="L33" i="13"/>
  <c r="M33" i="13"/>
  <c r="I33" i="13"/>
  <c r="J21" i="13"/>
  <c r="K21" i="13"/>
  <c r="L21" i="13"/>
  <c r="M21" i="13"/>
  <c r="I21" i="13"/>
  <c r="K6" i="14" l="1"/>
  <c r="S43" i="14"/>
  <c r="S47" i="14" s="1"/>
  <c r="R169" i="14"/>
  <c r="J33" i="14"/>
  <c r="S165" i="14"/>
  <c r="V169" i="14"/>
  <c r="R165" i="14"/>
  <c r="T165" i="14"/>
  <c r="U165" i="14"/>
  <c r="T169" i="14"/>
  <c r="S169" i="14"/>
  <c r="V165" i="14"/>
  <c r="K33" i="14"/>
  <c r="U169" i="14"/>
  <c r="I52" i="20"/>
  <c r="M55" i="20"/>
  <c r="L52" i="20"/>
  <c r="K52" i="20"/>
  <c r="K53" i="20" s="1"/>
  <c r="I55" i="20"/>
  <c r="L55" i="20"/>
  <c r="K55" i="20"/>
  <c r="I53" i="20"/>
  <c r="M52" i="20"/>
  <c r="J52" i="20"/>
  <c r="J53" i="20" s="1"/>
  <c r="L53" i="20"/>
  <c r="M53" i="20"/>
  <c r="R139" i="20"/>
  <c r="S139" i="20"/>
  <c r="R140" i="20"/>
  <c r="R141" i="20" s="1"/>
  <c r="S140" i="20"/>
  <c r="S141" i="20" s="1"/>
  <c r="M21" i="20"/>
  <c r="R137" i="20"/>
  <c r="I9" i="17"/>
  <c r="I15" i="17" s="1"/>
  <c r="L9" i="17"/>
  <c r="L15" i="17" s="1"/>
  <c r="L27" i="17" s="1"/>
  <c r="M13" i="17"/>
  <c r="M26" i="17" s="1"/>
  <c r="K13" i="17"/>
  <c r="M15" i="17"/>
  <c r="M27" i="17" s="1"/>
  <c r="J13" i="17"/>
  <c r="I25" i="16"/>
  <c r="L25" i="16"/>
  <c r="K21" i="16"/>
  <c r="J21" i="16"/>
  <c r="M21" i="16"/>
  <c r="I34" i="14"/>
  <c r="J34" i="14"/>
  <c r="K34" i="14"/>
  <c r="M34" i="14"/>
  <c r="L33" i="14"/>
  <c r="L31" i="14"/>
  <c r="M32" i="14"/>
  <c r="K31" i="14"/>
  <c r="J31" i="14"/>
  <c r="I32" i="14"/>
  <c r="L32" i="14"/>
  <c r="K32" i="14"/>
  <c r="J32" i="14"/>
  <c r="I33" i="14"/>
  <c r="M33" i="14"/>
  <c r="M25" i="17"/>
  <c r="M16" i="17"/>
  <c r="M28" i="17" s="1"/>
  <c r="L25" i="17"/>
  <c r="L16" i="17"/>
  <c r="L28" i="17" s="1"/>
  <c r="M31" i="16"/>
  <c r="V134" i="14" s="1"/>
  <c r="J12" i="16"/>
  <c r="L12" i="16"/>
  <c r="K12" i="16"/>
  <c r="M16" i="16"/>
  <c r="J16" i="16"/>
  <c r="L16" i="16"/>
  <c r="K16" i="16"/>
  <c r="I12" i="16"/>
  <c r="I16" i="16"/>
  <c r="M12" i="16"/>
  <c r="M35" i="16"/>
  <c r="L31" i="16"/>
  <c r="U134" i="14" s="1"/>
  <c r="I31" i="16"/>
  <c r="R134" i="14" s="1"/>
  <c r="K35" i="16"/>
  <c r="J35" i="16"/>
  <c r="K31" i="16"/>
  <c r="T134" i="14" s="1"/>
  <c r="J31" i="16"/>
  <c r="S134" i="14" s="1"/>
  <c r="K46" i="13"/>
  <c r="K50" i="13" s="1"/>
  <c r="K52" i="13" s="1"/>
  <c r="K54" i="13" s="1"/>
  <c r="I46" i="13"/>
  <c r="I50" i="13" s="1"/>
  <c r="I52" i="13" s="1"/>
  <c r="I54" i="13" s="1"/>
  <c r="M46" i="13"/>
  <c r="M50" i="13" s="1"/>
  <c r="M52" i="13" s="1"/>
  <c r="M54" i="13" s="1"/>
  <c r="L46" i="13"/>
  <c r="L50" i="13" s="1"/>
  <c r="L52" i="13" s="1"/>
  <c r="L54" i="13" s="1"/>
  <c r="J46" i="13"/>
  <c r="J50" i="13" s="1"/>
  <c r="J52" i="13" s="1"/>
  <c r="J54" i="13" s="1"/>
  <c r="L6" i="14" l="1"/>
  <c r="T43" i="14"/>
  <c r="T47" i="14" s="1"/>
  <c r="I13" i="17"/>
  <c r="L13" i="17"/>
  <c r="L26" i="17" s="1"/>
  <c r="M30" i="17"/>
  <c r="M31" i="17"/>
  <c r="I21" i="16"/>
  <c r="K25" i="16"/>
  <c r="M25" i="16"/>
  <c r="L21" i="16"/>
  <c r="J25" i="16"/>
  <c r="J35" i="14"/>
  <c r="K35" i="14"/>
  <c r="I35" i="14"/>
  <c r="L35" i="14"/>
  <c r="M35" i="14"/>
  <c r="J9" i="1"/>
  <c r="K9" i="1"/>
  <c r="L9" i="1"/>
  <c r="M9" i="1"/>
  <c r="I9" i="1"/>
  <c r="J58" i="12"/>
  <c r="K58" i="12"/>
  <c r="L58" i="12"/>
  <c r="M58" i="12"/>
  <c r="I58" i="12"/>
  <c r="J49" i="12"/>
  <c r="K49" i="12"/>
  <c r="L49" i="12"/>
  <c r="M49" i="12"/>
  <c r="I49" i="12"/>
  <c r="J38" i="12"/>
  <c r="J40" i="12" s="1"/>
  <c r="K38" i="12"/>
  <c r="K40" i="12" s="1"/>
  <c r="L38" i="12"/>
  <c r="L40" i="12" s="1"/>
  <c r="M38" i="12"/>
  <c r="M40" i="12" s="1"/>
  <c r="I38" i="12"/>
  <c r="I40" i="12" s="1"/>
  <c r="J29" i="12"/>
  <c r="K29" i="12"/>
  <c r="L29" i="12"/>
  <c r="M29" i="12"/>
  <c r="I29" i="12"/>
  <c r="J19" i="12"/>
  <c r="K19" i="12"/>
  <c r="L19" i="12"/>
  <c r="M19" i="12"/>
  <c r="I19" i="12"/>
  <c r="K12" i="11"/>
  <c r="J12" i="11"/>
  <c r="I11" i="11"/>
  <c r="I12" i="11" s="1"/>
  <c r="L12" i="11"/>
  <c r="M12" i="11"/>
  <c r="J6" i="13"/>
  <c r="K6" i="13" s="1"/>
  <c r="L6" i="13" s="1"/>
  <c r="M6" i="13" s="1"/>
  <c r="J6" i="12"/>
  <c r="K6" i="12" s="1"/>
  <c r="L6" i="12" s="1"/>
  <c r="M6" i="12" s="1"/>
  <c r="J6" i="11"/>
  <c r="K6" i="11" s="1"/>
  <c r="L6" i="11" s="1"/>
  <c r="M6" i="11" s="1"/>
  <c r="M6" i="14" l="1"/>
  <c r="V43" i="14" s="1"/>
  <c r="V47" i="14" s="1"/>
  <c r="U43" i="14"/>
  <c r="U47" i="14" s="1"/>
  <c r="I59" i="12"/>
  <c r="J21" i="11"/>
  <c r="J10" i="1" s="1"/>
  <c r="I21" i="11"/>
  <c r="I10" i="1" s="1"/>
  <c r="M21" i="11"/>
  <c r="M10" i="1" s="1"/>
  <c r="L21" i="11"/>
  <c r="L10" i="1" s="1"/>
  <c r="K21" i="11"/>
  <c r="K10" i="1" s="1"/>
  <c r="I30" i="12"/>
  <c r="M59" i="12"/>
  <c r="L59" i="12"/>
  <c r="K59" i="12"/>
  <c r="M30" i="12"/>
  <c r="L30" i="12"/>
  <c r="K30" i="12"/>
  <c r="J59" i="12"/>
  <c r="J30" i="12"/>
  <c r="K61" i="12" l="1"/>
  <c r="L61" i="12"/>
  <c r="M61" i="12"/>
  <c r="J61" i="12"/>
  <c r="I61" i="12"/>
  <c r="M26" i="11"/>
  <c r="M22" i="11"/>
  <c r="J26" i="11"/>
  <c r="J22" i="11"/>
  <c r="I26" i="11"/>
  <c r="I22" i="11"/>
  <c r="K26" i="11"/>
  <c r="K22" i="11"/>
  <c r="L22" i="11"/>
  <c r="L26" i="11"/>
  <c r="K31" i="11" l="1"/>
  <c r="K32" i="11" s="1"/>
  <c r="K27" i="11"/>
  <c r="I31" i="11"/>
  <c r="I27" i="11"/>
  <c r="J31" i="11"/>
  <c r="J32" i="11" s="1"/>
  <c r="J27" i="11"/>
  <c r="L31" i="11"/>
  <c r="L32" i="11" s="1"/>
  <c r="L27" i="11"/>
  <c r="M31" i="11"/>
  <c r="M32" i="11" s="1"/>
  <c r="M27" i="11"/>
  <c r="J6" i="1"/>
  <c r="K6" i="1" s="1"/>
  <c r="L6" i="1" s="1"/>
  <c r="M6" i="1" s="1"/>
  <c r="M13" i="1" l="1"/>
  <c r="M33" i="11"/>
  <c r="L13" i="1"/>
  <c r="L33" i="11"/>
  <c r="J33" i="11"/>
  <c r="J13" i="1"/>
  <c r="K13" i="1"/>
  <c r="K33" i="11"/>
</calcChain>
</file>

<file path=xl/sharedStrings.xml><?xml version="1.0" encoding="utf-8"?>
<sst xmlns="http://schemas.openxmlformats.org/spreadsheetml/2006/main" count="437" uniqueCount="300">
  <si>
    <t>Top-End Mix</t>
  </si>
  <si>
    <t>Revenue</t>
  </si>
  <si>
    <t>Gross Profit</t>
  </si>
  <si>
    <t>Adjusted EBIT</t>
  </si>
  <si>
    <t>Assets</t>
  </si>
  <si>
    <t>Inventories</t>
  </si>
  <si>
    <t>Total Equity</t>
  </si>
  <si>
    <t>Industrial Free Cash Flow</t>
  </si>
  <si>
    <t>Mercedes-Benz Cars</t>
  </si>
  <si>
    <t>Mercedes-Benz Vans</t>
  </si>
  <si>
    <t>Mercedes-Benz Mobility</t>
  </si>
  <si>
    <t>ROIC</t>
  </si>
  <si>
    <t>Capital Turnover</t>
  </si>
  <si>
    <t>PP&amp;E</t>
  </si>
  <si>
    <t>Operating Working Capital</t>
  </si>
  <si>
    <t>Other Operating Assets</t>
  </si>
  <si>
    <t>Less: Operating Liabilities</t>
  </si>
  <si>
    <t>Table of Contents</t>
  </si>
  <si>
    <t>Financial &amp; Operating Performance Analysis</t>
  </si>
  <si>
    <t>Dashboard</t>
  </si>
  <si>
    <t>All figures in € millions unless stated</t>
  </si>
  <si>
    <t xml:space="preserve">Revenue </t>
  </si>
  <si>
    <t xml:space="preserve">Units Sold </t>
  </si>
  <si>
    <t xml:space="preserve">EBIT </t>
  </si>
  <si>
    <t>EBIT Margin %</t>
  </si>
  <si>
    <t xml:space="preserve">Net Industrial Debt / (Net Liquidity) </t>
  </si>
  <si>
    <t>Key Figures</t>
  </si>
  <si>
    <t>Millions</t>
  </si>
  <si>
    <t>Mercedes-Benz Group</t>
  </si>
  <si>
    <t xml:space="preserve"> </t>
  </si>
  <si>
    <t>Cost Of Sales</t>
  </si>
  <si>
    <t>Selling Expenses</t>
  </si>
  <si>
    <t>General Administrative Expenses</t>
  </si>
  <si>
    <t>Research And Non-Capitalized Development Costs</t>
  </si>
  <si>
    <t>Other Operating Income</t>
  </si>
  <si>
    <t>Other Operating Expense</t>
  </si>
  <si>
    <t>Gains/Losses On Equity-Method Investments, Net</t>
  </si>
  <si>
    <t>Interest Income</t>
  </si>
  <si>
    <t>Interest Expense</t>
  </si>
  <si>
    <t>Profit Before Income Taxes</t>
  </si>
  <si>
    <t>Income Taxes</t>
  </si>
  <si>
    <t>Statement of Financial Position</t>
  </si>
  <si>
    <t>Property, Plant And Equipment Including Right-Of-Use Assets</t>
  </si>
  <si>
    <t>Equipment On Operating Leases</t>
  </si>
  <si>
    <t>Equity-Method Investments</t>
  </si>
  <si>
    <t>Receivables From Financial Services</t>
  </si>
  <si>
    <t>Marketable Debt Securities And Similar Investments</t>
  </si>
  <si>
    <t>Other Financial Assets</t>
  </si>
  <si>
    <t>Deferred Tax Assets</t>
  </si>
  <si>
    <t>Income Tax Assets</t>
  </si>
  <si>
    <t>Other Assets</t>
  </si>
  <si>
    <t>Total Non-Current Assets</t>
  </si>
  <si>
    <t>Trade Receivables</t>
  </si>
  <si>
    <t>Cash And Cash Equivalents</t>
  </si>
  <si>
    <t>Assets Held For Sale</t>
  </si>
  <si>
    <t>Total Current Assets</t>
  </si>
  <si>
    <t>Total Assets</t>
  </si>
  <si>
    <t/>
  </si>
  <si>
    <t>Equity And Liabilities</t>
  </si>
  <si>
    <t>Share Capital</t>
  </si>
  <si>
    <t>Capital Reserves</t>
  </si>
  <si>
    <t>Retained Earnings</t>
  </si>
  <si>
    <t>Other Reserves</t>
  </si>
  <si>
    <t>Treasury Shares</t>
  </si>
  <si>
    <t>Non-Controlling Interests</t>
  </si>
  <si>
    <t>Provisions For Pensions And Similar Obligations</t>
  </si>
  <si>
    <t>Provisions For Other Risks</t>
  </si>
  <si>
    <t>Financing Liabilities</t>
  </si>
  <si>
    <t>Other Financial Liabilities</t>
  </si>
  <si>
    <t>Deferred Tax Liabilities</t>
  </si>
  <si>
    <t>Contract And Refund Liabilities</t>
  </si>
  <si>
    <t>Income Tax Liabilities</t>
  </si>
  <si>
    <t>Other Liabilities</t>
  </si>
  <si>
    <t xml:space="preserve">Total Non-Current Liabilities </t>
  </si>
  <si>
    <t>Trade Payables</t>
  </si>
  <si>
    <t>Liabilities Held For Sale</t>
  </si>
  <si>
    <t xml:space="preserve">Total Current Liabilities </t>
  </si>
  <si>
    <t>Total Equity And Liabilities</t>
  </si>
  <si>
    <t>Equity Attributable To Shareholders Of Mercedes-Benz Group AG</t>
  </si>
  <si>
    <t>Statement of Cash Flows</t>
  </si>
  <si>
    <t>Depreciation And Amortization/Impairments</t>
  </si>
  <si>
    <t>Other Non-Cash Expense And Income</t>
  </si>
  <si>
    <t>Gains (-)/Losses(+) From Disposals Of Non-Current Assets</t>
  </si>
  <si>
    <t>Change In Operating Assets And Liabilities</t>
  </si>
  <si>
    <t>Trade Receivables And Trade Payables</t>
  </si>
  <si>
    <t>Vehicles On Operating Leases</t>
  </si>
  <si>
    <t>Other Operating Assets And Liabilities</t>
  </si>
  <si>
    <t>Dividends Received From Equity-Method Investments</t>
  </si>
  <si>
    <t>Income Taxes Paid</t>
  </si>
  <si>
    <t>Cash Flow From Operating Activities</t>
  </si>
  <si>
    <t>Acquisitions Of Property, Plant And Equipment</t>
  </si>
  <si>
    <t>Acquisitions Of Intangible Assets</t>
  </si>
  <si>
    <t>Cash Inflows From Disposals Of Property, Plant And Equipment And Intangible Assets</t>
  </si>
  <si>
    <t>Acquisitions Of Shareholdings</t>
  </si>
  <si>
    <t>Cash Inflows From Disposals Of Shareholdings And Other Business Operations</t>
  </si>
  <si>
    <t>Cash Inflows From Sales Of Marketable Debt Securities And Similar Investments</t>
  </si>
  <si>
    <t>Other Cash Flows</t>
  </si>
  <si>
    <t>Repayment Of Long-Term Financing Liabilities</t>
  </si>
  <si>
    <t>Dividend Paid To Shareholders Of Mercedes-Benz Group Ag</t>
  </si>
  <si>
    <t>Dividend Paid To Non-Controlling Interests</t>
  </si>
  <si>
    <t>Acquisition Of Treasury Shares</t>
  </si>
  <si>
    <t>Cash Flow From Financing Activities</t>
  </si>
  <si>
    <t>Effect Of Foreign Exchange-Rate Changes On Cash And Cash Equivalents</t>
  </si>
  <si>
    <t>Change In Cash And Cash Equivalents</t>
  </si>
  <si>
    <t>Cash And Cash Equivalents At Beginning Of Year</t>
  </si>
  <si>
    <t>Less Cash And Cash Equivalents Classified As Assets Held For Sale At Beginning Of Year</t>
  </si>
  <si>
    <t>Cash And Cash Equivalents At Beginning Of Year (Consolidated Statement Of Financial Position)</t>
  </si>
  <si>
    <t>Cash And Cash Equivalents At End Of Year</t>
  </si>
  <si>
    <t>Less Cash And Cash Equivalents Classified As Assets Held For Sale At End Of Year</t>
  </si>
  <si>
    <t>Cash And Cash Equivalents At End Of Year (Consolidated Statement Of Financial Position)</t>
  </si>
  <si>
    <t>Profit/Loss From Discontinued Operations After Taxes</t>
  </si>
  <si>
    <t xml:space="preserve">Check </t>
  </si>
  <si>
    <t>Profit Before Income Taxes (EBT)</t>
  </si>
  <si>
    <t>Gross Margin %</t>
  </si>
  <si>
    <t>EBT Margin %</t>
  </si>
  <si>
    <t>Cash And Cash Equivalents Disposed Of From The Deconsolidation Of Daimler's Commercial Vehicles Business</t>
  </si>
  <si>
    <t>Repayment Of Financing Of Daimler's Commercial Vehicles Business</t>
  </si>
  <si>
    <t>Cash Flow From Investing Activities</t>
  </si>
  <si>
    <t>Change In Short-Term Financing Liabilities</t>
  </si>
  <si>
    <t>Additions In Long-Term Financing Liabilities</t>
  </si>
  <si>
    <t>Acquisitions Of Marketable Debt Securities And Similar Investments</t>
  </si>
  <si>
    <t xml:space="preserve">Unit Sales </t>
  </si>
  <si>
    <t>Thousands</t>
  </si>
  <si>
    <t>eVan Share</t>
  </si>
  <si>
    <t>Portfolio</t>
  </si>
  <si>
    <t>Cars Contribution</t>
  </si>
  <si>
    <t>Vans Contribution</t>
  </si>
  <si>
    <t>Mobility Contribution</t>
  </si>
  <si>
    <t>Adjusted Return On Sales (RoS)</t>
  </si>
  <si>
    <t>Adjusted Return On Equity (RoE)</t>
  </si>
  <si>
    <t xml:space="preserve">Adjusted EBIT </t>
  </si>
  <si>
    <t>Mobility Analysis</t>
  </si>
  <si>
    <t>Portfolio &amp; Balance Sheet</t>
  </si>
  <si>
    <t>Risk Indicators</t>
  </si>
  <si>
    <t xml:space="preserve">Financing / Leasing Portfolio </t>
  </si>
  <si>
    <t xml:space="preserve">Financing Liabilities </t>
  </si>
  <si>
    <t>Adjusted ROE</t>
  </si>
  <si>
    <t>Positive</t>
  </si>
  <si>
    <t>Neutral</t>
  </si>
  <si>
    <t>Negative</t>
  </si>
  <si>
    <t>New Business</t>
  </si>
  <si>
    <t>Capital Intensity</t>
  </si>
  <si>
    <t>Total Investment</t>
  </si>
  <si>
    <t>Adjusted Industrial Free Cash Flow (FCF)</t>
  </si>
  <si>
    <t>Adjusted Industrial FCF</t>
  </si>
  <si>
    <t xml:space="preserve">PP&amp;E Additions </t>
  </si>
  <si>
    <t>Depreciation &amp; Amortization (D&amp;A)</t>
  </si>
  <si>
    <t>Reinvestment Ratio</t>
  </si>
  <si>
    <t>Group Revenue</t>
  </si>
  <si>
    <t xml:space="preserve">CapEx Intensity </t>
  </si>
  <si>
    <t xml:space="preserve">Capitalized R&amp;D Intensity </t>
  </si>
  <si>
    <t xml:space="preserve">Total Investment Intensity </t>
  </si>
  <si>
    <t xml:space="preserve">Adjusted  Industrial FCF Margin </t>
  </si>
  <si>
    <t xml:space="preserve">Adjusted EBIT Margin </t>
  </si>
  <si>
    <t xml:space="preserve">Total R&amp;D Expenditure </t>
  </si>
  <si>
    <t>R&amp;D Capitalization Rate</t>
  </si>
  <si>
    <t>ROIC Analysis</t>
  </si>
  <si>
    <t xml:space="preserve">NOPAT </t>
  </si>
  <si>
    <t>Industrial Adjusted EBIT</t>
  </si>
  <si>
    <t>Year-End Reconciliation</t>
  </si>
  <si>
    <t>Statement of Income</t>
  </si>
  <si>
    <t>Segment Analysis</t>
  </si>
  <si>
    <t>Net Profit (Including Discontinued Operations)</t>
  </si>
  <si>
    <t>Net Profit from Continuing Operations</t>
  </si>
  <si>
    <t>Other Financial Income/Expense, Net</t>
  </si>
  <si>
    <t>Earnings Before Interest and Taxes (EBIT)</t>
  </si>
  <si>
    <t>*Consolidated Group Statement of Financial Position. Industrial and Mobility analyses are separated in subsequent tabs where disclosed by Mercedes-Benz</t>
  </si>
  <si>
    <t>Intangible Assets</t>
  </si>
  <si>
    <t>Consolidated Statement of Cash Flows</t>
  </si>
  <si>
    <t>Consolidated Statement of Financial Position</t>
  </si>
  <si>
    <t xml:space="preserve">Consolidated Statement of Income </t>
  </si>
  <si>
    <t>Segments Adjusted EBIT</t>
  </si>
  <si>
    <t>Group Metrics</t>
  </si>
  <si>
    <t>Industrial ROIC Core Metrics</t>
  </si>
  <si>
    <t>Industrial NOPAT</t>
  </si>
  <si>
    <t>Industrial ROIC</t>
  </si>
  <si>
    <t>Net Margin %</t>
  </si>
  <si>
    <t>Segment Adjusted EBIT Contribution</t>
  </si>
  <si>
    <t>Group Adjusted EBIT (Continuing Operations)</t>
  </si>
  <si>
    <t>*Residual-Value Effects direction is an analytical assessment based on Mercedes' 'Remarketing Results' disclosures.</t>
  </si>
  <si>
    <t>Residual-Value Effects – Analytical Direction</t>
  </si>
  <si>
    <t>Industrial FCF</t>
  </si>
  <si>
    <t>NOPAT Margin</t>
  </si>
  <si>
    <t>Average Net Assets (Invested Capital)</t>
  </si>
  <si>
    <t xml:space="preserve">ROIC Relative Change   </t>
  </si>
  <si>
    <t>ROIC Absolute Change - Percentage Points</t>
  </si>
  <si>
    <t>Capitalized R&amp;D Costs</t>
  </si>
  <si>
    <t>Intangible Assets Additions</t>
  </si>
  <si>
    <t>Industrial Metrics (Cars + Vans)</t>
  </si>
  <si>
    <t>Industrial Revenue (Cars &amp; Vans)</t>
  </si>
  <si>
    <t>Analytical Tax rate</t>
  </si>
  <si>
    <t>Industrial Revenue (Cars + Vans)</t>
  </si>
  <si>
    <t>ROIC Analysis (Industrial Business - Cars &amp; Vans)</t>
  </si>
  <si>
    <t>Analytical Year-End Operating Capital Bridge</t>
  </si>
  <si>
    <t>*Group, Industrial Business and automotive segment KPIs are presented together.</t>
  </si>
  <si>
    <t>Cars Volume</t>
  </si>
  <si>
    <t>Vans Volume</t>
  </si>
  <si>
    <t>Cars &amp; Vans Adjusted EBIT Margin</t>
  </si>
  <si>
    <t>Cars Revenue</t>
  </si>
  <si>
    <t>Vans Revenue</t>
  </si>
  <si>
    <t>2024 Adjusted EBIT</t>
  </si>
  <si>
    <t>2025 Adjusted EBIT</t>
  </si>
  <si>
    <t>Operating Data</t>
  </si>
  <si>
    <t>Mercedes-Benz Cars Regional Unit Sales</t>
  </si>
  <si>
    <t>China</t>
  </si>
  <si>
    <t>Europe</t>
  </si>
  <si>
    <t>North America</t>
  </si>
  <si>
    <t>Rest of Asia</t>
  </si>
  <si>
    <t>YoY Change</t>
  </si>
  <si>
    <t>Cars Adjusted EBIT Bridge (2024 -&gt; 2025)</t>
  </si>
  <si>
    <t>Adjusted EBIT Margin %</t>
  </si>
  <si>
    <t>Cost Of Credit Risk / (Benefit)</t>
  </si>
  <si>
    <t>Reconciliation/Other</t>
  </si>
  <si>
    <t>Rest of the world</t>
  </si>
  <si>
    <t>Exhibit 12: The Dual Impact of the China Contraction</t>
  </si>
  <si>
    <t>Asia</t>
  </si>
  <si>
    <t>Other Markets</t>
  </si>
  <si>
    <t>Total Unit Sales</t>
  </si>
  <si>
    <t>North america</t>
  </si>
  <si>
    <t>Total Global Cars</t>
  </si>
  <si>
    <t>*China unit sales include vehicles sold by Beijing Benz Automotive Co., Ltd. (BBAC), an equity-method investment.</t>
  </si>
  <si>
    <t>China Unit Sales*</t>
  </si>
  <si>
    <t>Volume, Structure, Net Pricing</t>
  </si>
  <si>
    <t>Foreign Exchange Rates</t>
  </si>
  <si>
    <t>Industrial Performance</t>
  </si>
  <si>
    <t>Research &amp; Non-Capitalized Development Costs</t>
  </si>
  <si>
    <t>Other</t>
  </si>
  <si>
    <t>Cars xEV Share (Electrified Vehicles)</t>
  </si>
  <si>
    <t>BEV Unit Sales (All-Electric Vehicles)</t>
  </si>
  <si>
    <t>Electrification Trajectory</t>
  </si>
  <si>
    <t>Original 2021 Ambition</t>
  </si>
  <si>
    <t>Payout Ratio (% of FCF)</t>
  </si>
  <si>
    <t>Net Industrial Liquidity</t>
  </si>
  <si>
    <t>Returns to Mercedes-Benz Group AG Shareholders</t>
  </si>
  <si>
    <t>Cash Returns</t>
  </si>
  <si>
    <t>Total Distributions &amp; Treasury shares</t>
  </si>
  <si>
    <t>Cash Conversion Metrics</t>
  </si>
  <si>
    <t>Cars Adjusted Cash Conversion Rate (CCR)</t>
  </si>
  <si>
    <t>Vans Adjusted Cash Conversion Rate (CCR)</t>
  </si>
  <si>
    <t>Group Days Inventory Outstanding (DIO)</t>
  </si>
  <si>
    <t>Group Days Sales Outstanding (DSO)</t>
  </si>
  <si>
    <t>(Less) Group Days Payable Outstanding (DPO)</t>
  </si>
  <si>
    <t>*Adjusted CCR = adjusted CFBIT / adjusted EBIT, as defined by Mercedes-Benz.</t>
  </si>
  <si>
    <t>Peer Comparison</t>
  </si>
  <si>
    <t>BEV Volume</t>
  </si>
  <si>
    <t>BMW Group Automobiles</t>
  </si>
  <si>
    <t>YoY Growth</t>
  </si>
  <si>
    <t>Core Automotive Margin Compression</t>
  </si>
  <si>
    <t>Mercedes-Benz Cars (EBIT Margin)</t>
  </si>
  <si>
    <t>Total Volume YoY</t>
  </si>
  <si>
    <t>China Volume YoY</t>
  </si>
  <si>
    <t>Units</t>
  </si>
  <si>
    <t>*BMW Group figures refer to the Group's Automobiles business, including BMW, MINI and Rolls-Royce, Mercedes-Benz figures refer to Mercedes-Benz Cars.</t>
  </si>
  <si>
    <t>BMW Group Automobiles (EBIT Margin)</t>
  </si>
  <si>
    <t>Outlook &amp; Valuation</t>
  </si>
  <si>
    <t>Adjusted RoS</t>
  </si>
  <si>
    <t>P/E Assumption</t>
  </si>
  <si>
    <t>Implied Value</t>
  </si>
  <si>
    <t>2026 Guidance</t>
  </si>
  <si>
    <t>Peak Margin (2022-2023)</t>
  </si>
  <si>
    <t>Mercedes-Benz Cars &amp; Vans</t>
  </si>
  <si>
    <t>2025 Actual</t>
  </si>
  <si>
    <t>Segment Performance &amp; Contribution</t>
  </si>
  <si>
    <t>Year</t>
  </si>
  <si>
    <t>Group Adjusted EBIT</t>
  </si>
  <si>
    <t>Group Revenue Index</t>
  </si>
  <si>
    <t>Group Adjusted EBIT Index</t>
  </si>
  <si>
    <t>Unit Sales (Millions)</t>
  </si>
  <si>
    <t>Note: The figures are in millions</t>
  </si>
  <si>
    <t>Chart - Group Earnings Reset</t>
  </si>
  <si>
    <t>Chart - Volume Shock</t>
  </si>
  <si>
    <t>Chart - Profitability Divergence</t>
  </si>
  <si>
    <t>Chart - Combined Automotive Margin Reset</t>
  </si>
  <si>
    <t>Chart - Detailed Cars EBIT Bridge</t>
  </si>
  <si>
    <t>Cars Revenue / Vehicle</t>
  </si>
  <si>
    <t>Vans Revenue / Vehicle</t>
  </si>
  <si>
    <t>Chart - Revenue per Vehicle</t>
  </si>
  <si>
    <t>Chart - Geographic Exposure - Geographic Volume Concentration</t>
  </si>
  <si>
    <t>Chart - Mobility Profitability Normalization</t>
  </si>
  <si>
    <t>Chart - EBIT Mix Shift</t>
  </si>
  <si>
    <t>Chart - ROIC</t>
  </si>
  <si>
    <t>Charts - Geographic Exposure - China Concentration</t>
  </si>
  <si>
    <t>Chart - China</t>
  </si>
  <si>
    <t>Chart - Electrification Ambition</t>
  </si>
  <si>
    <t>Chart - Product &amp; Technology Investment</t>
  </si>
  <si>
    <t>Chart - Shareholders Returns</t>
  </si>
  <si>
    <t>Chart - Industrial Liquidity</t>
  </si>
  <si>
    <t>Chart - Cash Conversion</t>
  </si>
  <si>
    <t>Chart - Working Capital</t>
  </si>
  <si>
    <t>Chart - Peer Comparison</t>
  </si>
  <si>
    <t>Chart - Automotive Margin Gap</t>
  </si>
  <si>
    <t>2025 Reported EPS (€ )</t>
  </si>
  <si>
    <t>Peak</t>
  </si>
  <si>
    <t>Cars</t>
  </si>
  <si>
    <t>Vans</t>
  </si>
  <si>
    <t>Solid</t>
  </si>
  <si>
    <t>Chart - Margins Trajectory</t>
  </si>
  <si>
    <t>*Year-End Analytical CCC</t>
  </si>
  <si>
    <t>Group Cash Conversion Cycle (CCC)*</t>
  </si>
  <si>
    <t>*CCC is an analytical calculation based on year-end trade working-capital balances and annual Group revenue/cost of sales, it is not a Mercedes-Benz-reported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</si>
</sst>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0_)_%;\(#,##0\)_%;_(&quot;–&quot;_)_%;_(@_)_%"/>
    <numFmt numFmtId="165" formatCode="_(#,##0_);\(#,##0\);_(&quot;–&quot;_);_(@_)"/>
    <numFmt numFmtId="166" formatCode="_(#,##0.00_);\(#,##0.00\);_(&quot;–&quot;_);_(@_)"/>
    <numFmt numFmtId="167" formatCode="_(#,##0.0%_);\(#,##0.0%\);_(&quot;–&quot;_)_%;_(@_)_%"/>
    <numFmt numFmtId="168" formatCode="0.000000000000000%"/>
    <numFmt numFmtId="169" formatCode="_(#,##0.0_);\(#,##0.0\);_(&quot;–&quot;_);_(@_)"/>
    <numFmt numFmtId="170" formatCode="_(#,##0.00%_);\(#,##0.00%\);_(&quot;–&quot;_)_%;_(@_)_%"/>
    <numFmt numFmtId="171" formatCode="0.00\x;[Red]\(0.00\x\);\-"/>
    <numFmt numFmtId="172" formatCode="_(#,##0%_);\(#,##0%\);_(&quot;–&quot;_)_%;_(@_)_%"/>
    <numFmt numFmtId="173" formatCode="0.0&quot; pp&quot;;\(0.0&quot;) pp&quot;\ ;0.0&quot; pp&quot;"/>
    <numFmt numFmtId="174" formatCode="_(#,##0.000_);\(#,##0.000\);_(&quot;–&quot;_);_(@_)"/>
    <numFmt numFmtId="175" formatCode="0.0\x;[Red]\(0.0\x\);\-"/>
    <numFmt numFmtId="176" formatCode="#,##0.0\ [$€-407];[Red]\-#,##0.0\ [$€-407]"/>
  </numFmts>
  <fonts count="56" x14ac:knownFonts="1">
    <font>
      <sz val="11"/>
      <color theme="1"/>
      <name val="Calibri"/>
    </font>
    <font>
      <sz val="11"/>
      <color theme="1"/>
      <name val="Calibri"/>
      <family val="2"/>
      <scheme val="minor"/>
    </font>
    <font>
      <sz val="11"/>
      <color theme="1"/>
      <name val="Calibri"/>
      <family val="2"/>
      <charset val="161"/>
    </font>
    <font>
      <sz val="11"/>
      <color theme="1"/>
      <name val="Open Sans"/>
      <family val="2"/>
    </font>
    <font>
      <sz val="10"/>
      <color theme="1"/>
      <name val="Open Sans"/>
      <family val="2"/>
    </font>
    <font>
      <u/>
      <sz val="11"/>
      <color theme="10"/>
      <name val="Calibri"/>
      <family val="2"/>
      <scheme val="minor"/>
    </font>
    <font>
      <u/>
      <sz val="10"/>
      <color theme="10"/>
      <name val="Arial"/>
      <family val="2"/>
    </font>
    <font>
      <sz val="11"/>
      <name val="Open Sans"/>
      <family val="2"/>
    </font>
    <font>
      <b/>
      <sz val="18"/>
      <name val="Open Sans"/>
      <family val="2"/>
    </font>
    <font>
      <b/>
      <sz val="11"/>
      <color theme="0"/>
      <name val="Open Sans"/>
      <family val="2"/>
    </font>
    <font>
      <b/>
      <sz val="11"/>
      <color theme="1"/>
      <name val="Open Sans"/>
      <family val="2"/>
    </font>
    <font>
      <i/>
      <sz val="9"/>
      <name val="Open Sans"/>
      <family val="2"/>
    </font>
    <font>
      <b/>
      <sz val="16"/>
      <color rgb="FFDDDDDD"/>
      <name val="Open Sans"/>
      <family val="2"/>
    </font>
    <font>
      <b/>
      <sz val="10"/>
      <color theme="1"/>
      <name val="Open Sans"/>
      <family val="2"/>
    </font>
    <font>
      <sz val="10"/>
      <color theme="1"/>
      <name val="Calibri"/>
      <family val="2"/>
      <charset val="161"/>
    </font>
    <font>
      <sz val="10"/>
      <color theme="4"/>
      <name val="Open Sans"/>
      <family val="2"/>
    </font>
    <font>
      <i/>
      <sz val="10"/>
      <color theme="1"/>
      <name val="Open Sans"/>
      <family val="2"/>
    </font>
    <font>
      <u/>
      <sz val="11"/>
      <color theme="10"/>
      <name val="Calibri"/>
      <family val="2"/>
      <charset val="161"/>
    </font>
    <font>
      <sz val="10"/>
      <color theme="1"/>
      <name val="Open Sans"/>
    </font>
    <font>
      <i/>
      <sz val="10"/>
      <color theme="1"/>
      <name val="Open Sans"/>
    </font>
    <font>
      <i/>
      <sz val="10"/>
      <color theme="3"/>
      <name val="Open Sans"/>
    </font>
    <font>
      <i/>
      <sz val="10"/>
      <name val="Open Sans"/>
    </font>
    <font>
      <sz val="10"/>
      <name val="Open Sans"/>
      <family val="2"/>
    </font>
    <font>
      <b/>
      <sz val="10"/>
      <color theme="1"/>
      <name val="Open sans"/>
    </font>
    <font>
      <sz val="10"/>
      <color theme="4"/>
      <name val="Open sans"/>
    </font>
    <font>
      <b/>
      <sz val="10"/>
      <name val="Open sans"/>
    </font>
    <font>
      <sz val="10"/>
      <color theme="3"/>
      <name val="Open sans"/>
    </font>
    <font>
      <b/>
      <sz val="10"/>
      <color theme="4"/>
      <name val="Open Sans"/>
    </font>
    <font>
      <sz val="10"/>
      <name val="Open sans"/>
    </font>
    <font>
      <b/>
      <sz val="14"/>
      <color rgb="FFF4F5F7"/>
      <name val="Calibri"/>
      <family val="2"/>
      <charset val="161"/>
    </font>
    <font>
      <b/>
      <sz val="12"/>
      <name val="Open Sans"/>
      <family val="2"/>
    </font>
    <font>
      <vertAlign val="subscript"/>
      <sz val="10"/>
      <color theme="1"/>
      <name val="Open Sans"/>
    </font>
    <font>
      <b/>
      <sz val="10"/>
      <color rgb="FFDDDDDD"/>
      <name val="Open Sans"/>
    </font>
    <font>
      <b/>
      <sz val="10"/>
      <color theme="0"/>
      <name val="Open Sans"/>
    </font>
    <font>
      <sz val="11"/>
      <color theme="1"/>
      <name val="Open sans"/>
    </font>
    <font>
      <b/>
      <sz val="11"/>
      <color theme="1"/>
      <name val="Open sans"/>
    </font>
    <font>
      <b/>
      <i/>
      <sz val="10"/>
      <color theme="1"/>
      <name val="Open Sans"/>
    </font>
    <font>
      <b/>
      <i/>
      <sz val="10"/>
      <name val="Open Sans"/>
    </font>
    <font>
      <i/>
      <sz val="10"/>
      <color theme="4"/>
      <name val="Open Sans"/>
    </font>
    <font>
      <i/>
      <sz val="11"/>
      <color theme="1"/>
      <name val="Open Sans"/>
    </font>
    <font>
      <sz val="11"/>
      <name val="Open Sans"/>
    </font>
    <font>
      <vertAlign val="subscript"/>
      <sz val="10"/>
      <name val="Open Sans"/>
    </font>
    <font>
      <b/>
      <sz val="16"/>
      <color rgb="FFDDDDDD"/>
      <name val="Open Sans"/>
    </font>
    <font>
      <b/>
      <sz val="11"/>
      <color theme="0"/>
      <name val="Open Sans"/>
    </font>
    <font>
      <b/>
      <sz val="14"/>
      <color theme="1"/>
      <name val="Open sans"/>
    </font>
    <font>
      <b/>
      <sz val="11"/>
      <name val="Open sans"/>
    </font>
    <font>
      <i/>
      <sz val="8"/>
      <name val="Open Sans"/>
    </font>
    <font>
      <b/>
      <sz val="12"/>
      <color rgb="FFF4F5F7"/>
      <name val="Open Sans"/>
    </font>
    <font>
      <b/>
      <sz val="12"/>
      <color rgb="FF1F4E78"/>
      <name val="Open Sans"/>
    </font>
    <font>
      <sz val="11"/>
      <color theme="4"/>
      <name val="Open Sans"/>
    </font>
    <font>
      <b/>
      <sz val="12"/>
      <color theme="1"/>
      <name val="Open sans"/>
    </font>
    <font>
      <vertAlign val="subscript"/>
      <sz val="10"/>
      <color theme="1"/>
      <name val="Open Sans"/>
      <family val="2"/>
    </font>
    <font>
      <i/>
      <sz val="8"/>
      <name val="Open Sans"/>
      <family val="2"/>
    </font>
    <font>
      <i/>
      <sz val="9"/>
      <color theme="1"/>
      <name val="Open Sans"/>
    </font>
    <font>
      <sz val="9"/>
      <color theme="1"/>
      <name val="Open Sans"/>
    </font>
    <font>
      <b/>
      <sz val="9"/>
      <color theme="1"/>
      <name val="Open Sans"/>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bgColor rgb="FFF2F2F2"/>
      </patternFill>
    </fill>
    <fill>
      <patternFill patternType="solid">
        <fgColor rgb="FFC0C0C0"/>
        <bgColor indexed="64"/>
      </patternFill>
    </fill>
    <fill>
      <patternFill patternType="solid">
        <fgColor rgb="FF140A5E"/>
        <bgColor indexed="64"/>
      </patternFill>
    </fill>
    <fill>
      <patternFill patternType="solid">
        <fgColor theme="2" tint="-0.249977111117893"/>
        <bgColor indexed="64"/>
      </patternFill>
    </fill>
  </fills>
  <borders count="37">
    <border>
      <left/>
      <right/>
      <top/>
      <bottom/>
      <diagonal/>
    </border>
    <border>
      <left/>
      <right/>
      <top/>
      <bottom/>
      <diagonal/>
    </border>
    <border>
      <left/>
      <right/>
      <top/>
      <bottom style="medium">
        <color indexed="64"/>
      </bottom>
      <diagonal/>
    </border>
    <border>
      <left/>
      <right/>
      <top style="thin">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hair">
        <color auto="1"/>
      </top>
      <bottom/>
      <diagonal/>
    </border>
    <border>
      <left/>
      <right/>
      <top style="hair">
        <color auto="1"/>
      </top>
      <bottom style="thin">
        <color auto="1"/>
      </bottom>
      <diagonal/>
    </border>
    <border>
      <left/>
      <right/>
      <top style="thin">
        <color indexed="64"/>
      </top>
      <bottom/>
      <diagonal/>
    </border>
    <border>
      <left/>
      <right/>
      <top/>
      <bottom style="hair">
        <color auto="1"/>
      </bottom>
      <diagonal/>
    </border>
    <border>
      <left/>
      <right/>
      <top/>
      <bottom style="thin">
        <color indexed="64"/>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hair">
        <color auto="1"/>
      </right>
      <top/>
      <bottom/>
      <diagonal/>
    </border>
    <border>
      <left style="hair">
        <color auto="1"/>
      </left>
      <right/>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hair">
        <color indexed="64"/>
      </top>
      <bottom/>
      <diagonal/>
    </border>
    <border>
      <left/>
      <right style="thin">
        <color indexed="64"/>
      </right>
      <top style="hair">
        <color indexed="64"/>
      </top>
      <bottom/>
      <diagonal/>
    </border>
    <border>
      <left/>
      <right style="hair">
        <color auto="1"/>
      </right>
      <top style="thin">
        <color indexed="64"/>
      </top>
      <bottom style="thin">
        <color indexed="64"/>
      </bottom>
      <diagonal/>
    </border>
    <border>
      <left style="hair">
        <color auto="1"/>
      </left>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hair">
        <color auto="1"/>
      </left>
      <right style="thin">
        <color indexed="64"/>
      </right>
      <top style="thin">
        <color indexed="64"/>
      </top>
      <bottom/>
      <diagonal/>
    </border>
    <border>
      <left style="hair">
        <color auto="1"/>
      </left>
      <right style="thin">
        <color indexed="64"/>
      </right>
      <top/>
      <bottom/>
      <diagonal/>
    </border>
  </borders>
  <cellStyleXfs count="6">
    <xf numFmtId="0" fontId="0" fillId="0" borderId="1"/>
    <xf numFmtId="0" fontId="1" fillId="0" borderId="1"/>
    <xf numFmtId="0" fontId="1" fillId="0" borderId="1"/>
    <xf numFmtId="0" fontId="5" fillId="0" borderId="1" applyNumberFormat="0" applyFill="0" applyBorder="0" applyAlignment="0" applyProtection="0"/>
    <xf numFmtId="0" fontId="6" fillId="0" borderId="1" applyNumberFormat="0" applyFill="0" applyBorder="0" applyAlignment="0" applyProtection="0"/>
    <xf numFmtId="0" fontId="17" fillId="0" borderId="1" applyNumberFormat="0" applyFill="0" applyBorder="0" applyAlignment="0" applyProtection="0"/>
  </cellStyleXfs>
  <cellXfs count="289">
    <xf numFmtId="0" fontId="0" fillId="0" borderId="0" xfId="0" applyBorder="1"/>
    <xf numFmtId="0" fontId="0" fillId="0" borderId="1" xfId="0" applyBorder="1"/>
    <xf numFmtId="0" fontId="3" fillId="2" borderId="1" xfId="0" applyFont="1" applyFill="1" applyBorder="1"/>
    <xf numFmtId="0" fontId="4" fillId="2" borderId="1" xfId="0" applyFont="1" applyFill="1" applyBorder="1"/>
    <xf numFmtId="165" fontId="15" fillId="2" borderId="1" xfId="0" applyNumberFormat="1" applyFont="1" applyFill="1" applyBorder="1" applyAlignment="1">
      <alignment horizontal="right" vertical="center"/>
    </xf>
    <xf numFmtId="0" fontId="18" fillId="0" borderId="1" xfId="0" applyFont="1" applyBorder="1"/>
    <xf numFmtId="0" fontId="19" fillId="0" borderId="1" xfId="0" applyFont="1" applyBorder="1"/>
    <xf numFmtId="167" fontId="21" fillId="2" borderId="1" xfId="0" applyNumberFormat="1" applyFont="1" applyFill="1" applyBorder="1" applyAlignment="1">
      <alignment horizontal="right" vertical="center"/>
    </xf>
    <xf numFmtId="167" fontId="22" fillId="2" borderId="1" xfId="0" applyNumberFormat="1" applyFont="1" applyFill="1" applyBorder="1" applyAlignment="1">
      <alignment horizontal="right" vertical="center"/>
    </xf>
    <xf numFmtId="167" fontId="15" fillId="2" borderId="1" xfId="0" applyNumberFormat="1" applyFont="1" applyFill="1" applyBorder="1" applyAlignment="1">
      <alignment horizontal="right" vertical="center"/>
    </xf>
    <xf numFmtId="165" fontId="22" fillId="2" borderId="1" xfId="0" applyNumberFormat="1" applyFont="1" applyFill="1" applyBorder="1" applyAlignment="1">
      <alignment horizontal="right" vertical="center"/>
    </xf>
    <xf numFmtId="0" fontId="23" fillId="2" borderId="1" xfId="0" applyFont="1" applyFill="1" applyBorder="1" applyAlignment="1">
      <alignment horizontal="left" vertical="center"/>
    </xf>
    <xf numFmtId="0" fontId="18" fillId="0" borderId="0" xfId="0" applyFont="1" applyBorder="1" applyAlignment="1">
      <alignment horizontal="left"/>
    </xf>
    <xf numFmtId="0" fontId="18" fillId="0" borderId="0" xfId="0" applyFont="1" applyBorder="1"/>
    <xf numFmtId="0" fontId="18" fillId="2" borderId="1" xfId="0" applyFont="1" applyFill="1" applyBorder="1" applyAlignment="1">
      <alignment horizontal="left" vertical="center" indent="1"/>
    </xf>
    <xf numFmtId="165" fontId="24" fillId="2" borderId="1" xfId="0" applyNumberFormat="1" applyFont="1" applyFill="1" applyBorder="1" applyAlignment="1">
      <alignment horizontal="right" vertical="center"/>
    </xf>
    <xf numFmtId="0" fontId="23" fillId="2" borderId="11" xfId="0" applyFont="1" applyFill="1" applyBorder="1" applyAlignment="1">
      <alignment horizontal="left" vertical="center"/>
    </xf>
    <xf numFmtId="0" fontId="18" fillId="0" borderId="11" xfId="0" applyFont="1" applyBorder="1"/>
    <xf numFmtId="165" fontId="25" fillId="2" borderId="11" xfId="0" applyNumberFormat="1" applyFont="1" applyFill="1" applyBorder="1" applyAlignment="1">
      <alignment horizontal="right" vertical="center"/>
    </xf>
    <xf numFmtId="0" fontId="18" fillId="0" borderId="0" xfId="0" applyFont="1" applyBorder="1" applyAlignment="1">
      <alignment horizontal="left" indent="1"/>
    </xf>
    <xf numFmtId="0" fontId="23" fillId="0" borderId="11" xfId="0" applyFont="1" applyBorder="1"/>
    <xf numFmtId="0" fontId="23" fillId="0" borderId="1" xfId="0" applyFont="1" applyBorder="1"/>
    <xf numFmtId="165" fontId="26" fillId="2" borderId="1" xfId="0" applyNumberFormat="1" applyFont="1" applyFill="1" applyBorder="1" applyAlignment="1">
      <alignment horizontal="right" vertical="center"/>
    </xf>
    <xf numFmtId="0" fontId="18" fillId="0" borderId="1" xfId="0" applyFont="1" applyBorder="1" applyAlignment="1">
      <alignment horizontal="left" indent="1"/>
    </xf>
    <xf numFmtId="165" fontId="18" fillId="0" borderId="11" xfId="0" applyNumberFormat="1" applyFont="1" applyBorder="1"/>
    <xf numFmtId="0" fontId="23" fillId="0" borderId="0" xfId="0" applyFont="1" applyBorder="1"/>
    <xf numFmtId="165" fontId="25" fillId="2" borderId="3" xfId="0" applyNumberFormat="1" applyFont="1" applyFill="1" applyBorder="1" applyAlignment="1">
      <alignment horizontal="right" vertical="center"/>
    </xf>
    <xf numFmtId="0" fontId="18" fillId="2" borderId="1" xfId="0" applyFont="1" applyFill="1" applyBorder="1"/>
    <xf numFmtId="0" fontId="19" fillId="2" borderId="1" xfId="0" applyFont="1" applyFill="1" applyBorder="1"/>
    <xf numFmtId="165" fontId="20" fillId="2" borderId="1" xfId="0" applyNumberFormat="1" applyFont="1" applyFill="1" applyBorder="1" applyAlignment="1">
      <alignment horizontal="right" vertical="center"/>
    </xf>
    <xf numFmtId="165" fontId="25" fillId="2" borderId="1" xfId="0" applyNumberFormat="1" applyFont="1" applyFill="1" applyBorder="1" applyAlignment="1">
      <alignment horizontal="right" vertical="center"/>
    </xf>
    <xf numFmtId="165" fontId="25" fillId="2" borderId="12" xfId="0" applyNumberFormat="1" applyFont="1" applyFill="1" applyBorder="1" applyAlignment="1">
      <alignment horizontal="right" vertical="center"/>
    </xf>
    <xf numFmtId="165" fontId="28" fillId="2" borderId="1" xfId="0" applyNumberFormat="1" applyFont="1" applyFill="1" applyBorder="1" applyAlignment="1">
      <alignment horizontal="right" vertical="center"/>
    </xf>
    <xf numFmtId="165" fontId="25" fillId="2" borderId="2" xfId="0" applyNumberFormat="1" applyFont="1" applyFill="1" applyBorder="1" applyAlignment="1">
      <alignment horizontal="right" vertical="center"/>
    </xf>
    <xf numFmtId="165" fontId="27" fillId="2" borderId="11" xfId="0" applyNumberFormat="1" applyFont="1" applyFill="1" applyBorder="1" applyAlignment="1">
      <alignment horizontal="right" vertical="center"/>
    </xf>
    <xf numFmtId="0" fontId="0" fillId="2" borderId="1" xfId="0" applyFill="1" applyBorder="1"/>
    <xf numFmtId="0" fontId="2" fillId="2" borderId="1" xfId="0" applyFont="1" applyFill="1" applyBorder="1"/>
    <xf numFmtId="0" fontId="22" fillId="0" borderId="1" xfId="2" applyFont="1" applyBorder="1"/>
    <xf numFmtId="0" fontId="14" fillId="2" borderId="1" xfId="0" applyFont="1" applyFill="1" applyBorder="1"/>
    <xf numFmtId="0" fontId="7" fillId="0" borderId="1" xfId="1" applyFont="1" applyBorder="1"/>
    <xf numFmtId="0" fontId="30" fillId="0" borderId="1" xfId="2" applyFont="1" applyBorder="1" applyProtection="1">
      <protection locked="0"/>
    </xf>
    <xf numFmtId="0" fontId="8" fillId="2" borderId="1" xfId="1" applyFont="1" applyFill="1" applyBorder="1"/>
    <xf numFmtId="0" fontId="0" fillId="3" borderId="1" xfId="0" applyFill="1" applyBorder="1"/>
    <xf numFmtId="0" fontId="0" fillId="2" borderId="7" xfId="0" applyFill="1" applyBorder="1"/>
    <xf numFmtId="0" fontId="0" fillId="2" borderId="8" xfId="0" applyFill="1" applyBorder="1"/>
    <xf numFmtId="0" fontId="3" fillId="2" borderId="7" xfId="0" applyFont="1" applyFill="1" applyBorder="1"/>
    <xf numFmtId="0" fontId="4" fillId="2" borderId="7" xfId="0" applyFont="1" applyFill="1" applyBorder="1" applyAlignment="1">
      <alignment horizontal="left" vertical="center" indent="1"/>
    </xf>
    <xf numFmtId="0" fontId="16" fillId="2" borderId="7" xfId="0" applyFont="1" applyFill="1" applyBorder="1" applyAlignment="1">
      <alignment horizontal="left" vertical="center" indent="2"/>
    </xf>
    <xf numFmtId="0" fontId="4" fillId="2" borderId="7" xfId="0" applyFont="1" applyFill="1" applyBorder="1" applyAlignment="1">
      <alignment horizontal="left" vertical="center" indent="2"/>
    </xf>
    <xf numFmtId="0" fontId="4" fillId="2" borderId="7" xfId="0" applyFont="1" applyFill="1" applyBorder="1"/>
    <xf numFmtId="0" fontId="0" fillId="0" borderId="7" xfId="0" applyBorder="1"/>
    <xf numFmtId="0" fontId="0" fillId="0" borderId="9" xfId="0" applyBorder="1"/>
    <xf numFmtId="0" fontId="0" fillId="0" borderId="2" xfId="0" applyBorder="1"/>
    <xf numFmtId="0" fontId="0" fillId="3" borderId="4" xfId="0" applyFill="1" applyBorder="1"/>
    <xf numFmtId="0" fontId="0" fillId="3" borderId="5" xfId="0" applyFill="1" applyBorder="1"/>
    <xf numFmtId="0" fontId="29" fillId="3" borderId="5" xfId="0" applyFont="1" applyFill="1" applyBorder="1" applyAlignment="1">
      <alignment horizontal="center" vertical="center"/>
    </xf>
    <xf numFmtId="0" fontId="12" fillId="3" borderId="5" xfId="0" applyFont="1" applyFill="1" applyBorder="1" applyAlignment="1">
      <alignment horizontal="center" vertical="center"/>
    </xf>
    <xf numFmtId="0" fontId="0" fillId="3" borderId="6" xfId="0" applyFill="1" applyBorder="1"/>
    <xf numFmtId="0" fontId="0" fillId="3" borderId="7" xfId="0" applyFill="1" applyBorder="1"/>
    <xf numFmtId="0" fontId="0" fillId="3" borderId="8" xfId="0" applyFill="1" applyBorder="1"/>
    <xf numFmtId="0" fontId="9" fillId="3" borderId="7" xfId="0" applyFont="1" applyFill="1" applyBorder="1"/>
    <xf numFmtId="0" fontId="3" fillId="3" borderId="1" xfId="0" applyFont="1" applyFill="1" applyBorder="1"/>
    <xf numFmtId="0" fontId="3" fillId="3" borderId="7" xfId="0" applyFont="1" applyFill="1" applyBorder="1"/>
    <xf numFmtId="164" fontId="11" fillId="3" borderId="7" xfId="0" applyNumberFormat="1" applyFont="1" applyFill="1" applyBorder="1" applyAlignment="1">
      <alignment vertical="center"/>
    </xf>
    <xf numFmtId="0" fontId="10" fillId="3" borderId="1" xfId="0" applyNumberFormat="1" applyFont="1" applyFill="1" applyBorder="1" applyAlignment="1">
      <alignment horizontal="right" vertical="center" wrapText="1"/>
    </xf>
    <xf numFmtId="0" fontId="13" fillId="3" borderId="7" xfId="0" applyFont="1" applyFill="1" applyBorder="1" applyAlignment="1">
      <alignment horizontal="left" vertical="center"/>
    </xf>
    <xf numFmtId="0" fontId="4" fillId="3" borderId="1" xfId="0" applyFont="1" applyFill="1" applyBorder="1" applyAlignment="1">
      <alignment horizontal="left"/>
    </xf>
    <xf numFmtId="0" fontId="4" fillId="3" borderId="1" xfId="0" applyFont="1" applyFill="1" applyBorder="1"/>
    <xf numFmtId="0" fontId="4" fillId="3" borderId="7" xfId="0" applyFont="1" applyFill="1" applyBorder="1" applyAlignment="1">
      <alignment horizontal="left" vertical="center" indent="1"/>
    </xf>
    <xf numFmtId="165" fontId="22" fillId="3" borderId="1" xfId="0" applyNumberFormat="1" applyFont="1" applyFill="1" applyBorder="1" applyAlignment="1">
      <alignment horizontal="right" vertical="center"/>
    </xf>
    <xf numFmtId="0" fontId="16" fillId="3" borderId="1" xfId="0" applyFont="1" applyFill="1" applyBorder="1"/>
    <xf numFmtId="166" fontId="15" fillId="3" borderId="1" xfId="0" applyNumberFormat="1" applyFont="1" applyFill="1" applyBorder="1" applyAlignment="1">
      <alignment horizontal="right" vertical="center"/>
    </xf>
    <xf numFmtId="0" fontId="0" fillId="6" borderId="1" xfId="0" applyFill="1" applyBorder="1"/>
    <xf numFmtId="0" fontId="3" fillId="2" borderId="8" xfId="0" applyFont="1" applyFill="1" applyBorder="1"/>
    <xf numFmtId="0" fontId="4" fillId="2" borderId="8" xfId="0" applyFont="1" applyFill="1" applyBorder="1"/>
    <xf numFmtId="165" fontId="22" fillId="2" borderId="8" xfId="0" applyNumberFormat="1" applyFont="1" applyFill="1" applyBorder="1" applyAlignment="1">
      <alignment horizontal="right" vertical="center"/>
    </xf>
    <xf numFmtId="167" fontId="22" fillId="2" borderId="8" xfId="0" applyNumberFormat="1" applyFont="1" applyFill="1" applyBorder="1" applyAlignment="1">
      <alignment horizontal="right" vertical="center"/>
    </xf>
    <xf numFmtId="165" fontId="15" fillId="2" borderId="8" xfId="0" applyNumberFormat="1" applyFont="1" applyFill="1" applyBorder="1" applyAlignment="1">
      <alignment horizontal="right" vertical="center"/>
    </xf>
    <xf numFmtId="167" fontId="15" fillId="2" borderId="8" xfId="0" applyNumberFormat="1" applyFont="1" applyFill="1" applyBorder="1" applyAlignment="1">
      <alignment horizontal="right" vertical="center"/>
    </xf>
    <xf numFmtId="0" fontId="0" fillId="2" borderId="10" xfId="0" applyFill="1" applyBorder="1"/>
    <xf numFmtId="0" fontId="3" fillId="3" borderId="8" xfId="0" applyFont="1" applyFill="1" applyBorder="1"/>
    <xf numFmtId="0" fontId="10" fillId="3" borderId="8" xfId="0" applyNumberFormat="1" applyFont="1" applyFill="1" applyBorder="1" applyAlignment="1">
      <alignment horizontal="right" vertical="center" wrapText="1"/>
    </xf>
    <xf numFmtId="0" fontId="4" fillId="3" borderId="8" xfId="0" applyFont="1" applyFill="1" applyBorder="1"/>
    <xf numFmtId="165" fontId="22" fillId="3" borderId="8" xfId="0" applyNumberFormat="1" applyFont="1" applyFill="1" applyBorder="1" applyAlignment="1">
      <alignment horizontal="right" vertical="center"/>
    </xf>
    <xf numFmtId="166" fontId="15" fillId="3" borderId="8" xfId="0" applyNumberFormat="1" applyFont="1" applyFill="1" applyBorder="1" applyAlignment="1">
      <alignment horizontal="right" vertical="center"/>
    </xf>
    <xf numFmtId="0" fontId="22" fillId="2" borderId="1" xfId="0" applyFont="1" applyFill="1" applyBorder="1"/>
    <xf numFmtId="0" fontId="23" fillId="0" borderId="1" xfId="0" applyFont="1" applyBorder="1" applyAlignment="1">
      <alignment horizontal="left"/>
    </xf>
    <xf numFmtId="0" fontId="21" fillId="2" borderId="1" xfId="0" applyFont="1" applyFill="1" applyBorder="1" applyAlignment="1">
      <alignment horizontal="left" vertical="center"/>
    </xf>
    <xf numFmtId="0" fontId="25" fillId="2" borderId="1" xfId="0" applyFont="1" applyFill="1" applyBorder="1" applyAlignment="1">
      <alignment horizontal="left" vertical="center"/>
    </xf>
    <xf numFmtId="167" fontId="28" fillId="2" borderId="1" xfId="0" applyNumberFormat="1" applyFont="1" applyFill="1" applyBorder="1" applyAlignment="1">
      <alignment horizontal="right" vertical="center"/>
    </xf>
    <xf numFmtId="0" fontId="28" fillId="2" borderId="1" xfId="0" applyFont="1" applyFill="1" applyBorder="1" applyAlignment="1">
      <alignment horizontal="left" vertical="center"/>
    </xf>
    <xf numFmtId="167" fontId="25" fillId="2" borderId="1" xfId="0" applyNumberFormat="1" applyFont="1" applyFill="1" applyBorder="1" applyAlignment="1">
      <alignment horizontal="right" vertical="center"/>
    </xf>
    <xf numFmtId="0" fontId="18" fillId="0" borderId="1" xfId="0" applyFont="1" applyBorder="1" applyAlignment="1">
      <alignment horizontal="left"/>
    </xf>
    <xf numFmtId="0" fontId="23" fillId="2" borderId="1" xfId="0" applyFont="1" applyFill="1" applyBorder="1"/>
    <xf numFmtId="172" fontId="24" fillId="2" borderId="1" xfId="0" applyNumberFormat="1" applyFont="1" applyFill="1" applyBorder="1" applyAlignment="1">
      <alignment horizontal="right" vertical="center"/>
    </xf>
    <xf numFmtId="171" fontId="28" fillId="2" borderId="1" xfId="0" applyNumberFormat="1" applyFont="1" applyFill="1" applyBorder="1" applyAlignment="1">
      <alignment horizontal="right" vertical="center"/>
    </xf>
    <xf numFmtId="165" fontId="28" fillId="2" borderId="11" xfId="0" applyNumberFormat="1" applyFont="1" applyFill="1" applyBorder="1" applyAlignment="1">
      <alignment horizontal="right" vertical="center"/>
    </xf>
    <xf numFmtId="170" fontId="28" fillId="2" borderId="1" xfId="0" applyNumberFormat="1" applyFont="1" applyFill="1" applyBorder="1" applyAlignment="1">
      <alignment horizontal="right" vertical="center"/>
    </xf>
    <xf numFmtId="171" fontId="25" fillId="2" borderId="11" xfId="0" applyNumberFormat="1" applyFont="1" applyFill="1" applyBorder="1" applyAlignment="1">
      <alignment horizontal="right" vertical="center"/>
    </xf>
    <xf numFmtId="167" fontId="25" fillId="2" borderId="11" xfId="0" applyNumberFormat="1" applyFont="1" applyFill="1" applyBorder="1" applyAlignment="1">
      <alignment horizontal="right" vertical="center"/>
    </xf>
    <xf numFmtId="170" fontId="25" fillId="2" borderId="1" xfId="0" applyNumberFormat="1" applyFont="1" applyFill="1" applyBorder="1" applyAlignment="1">
      <alignment horizontal="right" vertical="center"/>
    </xf>
    <xf numFmtId="167" fontId="25" fillId="2" borderId="3" xfId="0" applyNumberFormat="1" applyFont="1" applyFill="1" applyBorder="1" applyAlignment="1">
      <alignment horizontal="right" vertical="center"/>
    </xf>
    <xf numFmtId="0" fontId="18" fillId="2" borderId="0" xfId="0" applyFont="1" applyFill="1" applyBorder="1"/>
    <xf numFmtId="169" fontId="24" fillId="2" borderId="1" xfId="0" applyNumberFormat="1" applyFont="1" applyFill="1" applyBorder="1" applyAlignment="1">
      <alignment horizontal="right" vertical="center"/>
    </xf>
    <xf numFmtId="0" fontId="18" fillId="3" borderId="0" xfId="0" applyFont="1" applyFill="1" applyBorder="1"/>
    <xf numFmtId="0" fontId="32" fillId="3" borderId="0" xfId="0" applyFont="1" applyFill="1" applyBorder="1" applyAlignment="1">
      <alignment horizontal="center" vertical="center"/>
    </xf>
    <xf numFmtId="0" fontId="33" fillId="5" borderId="0" xfId="0" applyFont="1" applyFill="1" applyBorder="1"/>
    <xf numFmtId="0" fontId="18" fillId="5" borderId="0" xfId="0" applyFont="1" applyFill="1" applyBorder="1"/>
    <xf numFmtId="164" fontId="21" fillId="0" borderId="1" xfId="0" applyNumberFormat="1" applyFont="1" applyAlignment="1">
      <alignment vertical="center"/>
    </xf>
    <xf numFmtId="0" fontId="18" fillId="0" borderId="2" xfId="0" applyFont="1" applyBorder="1"/>
    <xf numFmtId="165" fontId="25" fillId="2" borderId="1" xfId="0" applyNumberFormat="1" applyFont="1" applyFill="1" applyBorder="1"/>
    <xf numFmtId="0" fontId="19" fillId="0" borderId="0" xfId="0" applyFont="1" applyBorder="1" applyAlignment="1">
      <alignment horizontal="left" indent="1"/>
    </xf>
    <xf numFmtId="167" fontId="21" fillId="2" borderId="11" xfId="0" applyNumberFormat="1" applyFont="1" applyFill="1" applyBorder="1" applyAlignment="1">
      <alignment horizontal="right" vertical="center"/>
    </xf>
    <xf numFmtId="165" fontId="18" fillId="2" borderId="1" xfId="0" applyNumberFormat="1" applyFont="1" applyFill="1" applyBorder="1"/>
    <xf numFmtId="0" fontId="19" fillId="0" borderId="1" xfId="0" applyFont="1" applyBorder="1" applyAlignment="1">
      <alignment horizontal="left" indent="1"/>
    </xf>
    <xf numFmtId="170" fontId="21" fillId="2" borderId="1" xfId="0" applyNumberFormat="1" applyFont="1" applyFill="1" applyBorder="1" applyAlignment="1">
      <alignment horizontal="right" vertical="center"/>
    </xf>
    <xf numFmtId="167" fontId="24" fillId="2" borderId="1" xfId="0" applyNumberFormat="1" applyFont="1" applyFill="1" applyBorder="1" applyAlignment="1">
      <alignment horizontal="right" vertical="center"/>
    </xf>
    <xf numFmtId="173" fontId="25" fillId="2" borderId="3" xfId="0" applyNumberFormat="1" applyFont="1" applyFill="1" applyBorder="1" applyAlignment="1">
      <alignment horizontal="right" vertical="center"/>
    </xf>
    <xf numFmtId="0" fontId="25" fillId="2" borderId="14" xfId="0" applyFont="1" applyFill="1" applyBorder="1" applyAlignment="1">
      <alignment horizontal="left" vertical="center"/>
    </xf>
    <xf numFmtId="0" fontId="18" fillId="0" borderId="14" xfId="0" applyFont="1" applyBorder="1"/>
    <xf numFmtId="0" fontId="18" fillId="2" borderId="14" xfId="0" applyFont="1" applyFill="1" applyBorder="1"/>
    <xf numFmtId="165" fontId="24" fillId="2" borderId="14" xfId="0" applyNumberFormat="1" applyFont="1" applyFill="1" applyBorder="1" applyAlignment="1">
      <alignment horizontal="right" vertical="center"/>
    </xf>
    <xf numFmtId="171" fontId="25" fillId="2" borderId="1" xfId="0" applyNumberFormat="1" applyFont="1" applyFill="1" applyBorder="1" applyAlignment="1">
      <alignment horizontal="right" vertical="center"/>
    </xf>
    <xf numFmtId="173" fontId="25" fillId="2" borderId="1" xfId="0" applyNumberFormat="1" applyFont="1" applyFill="1" applyBorder="1" applyAlignment="1">
      <alignment horizontal="right" vertical="center"/>
    </xf>
    <xf numFmtId="164" fontId="21" fillId="0" borderId="1" xfId="0" applyNumberFormat="1" applyFont="1" applyBorder="1" applyAlignment="1">
      <alignment vertical="center"/>
    </xf>
    <xf numFmtId="0" fontId="23" fillId="2" borderId="1" xfId="0" applyNumberFormat="1" applyFont="1" applyFill="1" applyBorder="1" applyAlignment="1">
      <alignment horizontal="right" vertical="center" wrapText="1"/>
    </xf>
    <xf numFmtId="172" fontId="21" fillId="2" borderId="1" xfId="0" applyNumberFormat="1" applyFont="1" applyFill="1" applyBorder="1" applyAlignment="1">
      <alignment horizontal="right" vertical="center"/>
    </xf>
    <xf numFmtId="165" fontId="25" fillId="2" borderId="13" xfId="0" applyNumberFormat="1" applyFont="1" applyFill="1" applyBorder="1" applyAlignment="1">
      <alignment horizontal="right" vertical="center"/>
    </xf>
    <xf numFmtId="0" fontId="36" fillId="0" borderId="1" xfId="0" applyFont="1" applyBorder="1"/>
    <xf numFmtId="0" fontId="36" fillId="2" borderId="1" xfId="0" applyFont="1" applyFill="1" applyBorder="1"/>
    <xf numFmtId="165" fontId="37" fillId="2" borderId="1" xfId="0" applyNumberFormat="1" applyFont="1" applyFill="1" applyBorder="1" applyAlignment="1">
      <alignment horizontal="right" vertical="center"/>
    </xf>
    <xf numFmtId="165" fontId="38" fillId="2" borderId="1" xfId="0" applyNumberFormat="1" applyFont="1" applyFill="1" applyBorder="1" applyAlignment="1">
      <alignment horizontal="right" vertical="center"/>
    </xf>
    <xf numFmtId="165" fontId="21" fillId="2" borderId="1" xfId="0" applyNumberFormat="1" applyFont="1" applyFill="1" applyBorder="1" applyAlignment="1">
      <alignment horizontal="right" vertical="center"/>
    </xf>
    <xf numFmtId="0" fontId="34" fillId="0" borderId="1" xfId="0" applyFont="1" applyBorder="1"/>
    <xf numFmtId="37" fontId="34" fillId="0" borderId="1" xfId="0" applyNumberFormat="1" applyFont="1" applyBorder="1"/>
    <xf numFmtId="167" fontId="39" fillId="0" borderId="1" xfId="0" applyNumberFormat="1" applyFont="1" applyBorder="1"/>
    <xf numFmtId="0" fontId="31" fillId="0" borderId="14" xfId="0" applyFont="1" applyBorder="1"/>
    <xf numFmtId="0" fontId="21" fillId="2" borderId="1" xfId="0" applyFont="1" applyFill="1" applyBorder="1" applyAlignment="1">
      <alignment horizontal="left" vertical="center" indent="1"/>
    </xf>
    <xf numFmtId="0" fontId="18" fillId="0" borderId="1" xfId="0" applyFont="1" applyAlignment="1"/>
    <xf numFmtId="0" fontId="28" fillId="0" borderId="1" xfId="0" applyFont="1" applyAlignment="1">
      <alignment vertical="top" wrapText="1"/>
    </xf>
    <xf numFmtId="165" fontId="34" fillId="0" borderId="1" xfId="0" applyNumberFormat="1" applyFont="1" applyBorder="1"/>
    <xf numFmtId="0" fontId="35" fillId="0" borderId="1" xfId="0" applyFont="1" applyBorder="1"/>
    <xf numFmtId="165" fontId="35" fillId="0" borderId="1" xfId="0" applyNumberFormat="1" applyFont="1" applyBorder="1"/>
    <xf numFmtId="0" fontId="18" fillId="2" borderId="1" xfId="0" applyFont="1" applyFill="1" applyBorder="1" applyAlignment="1">
      <alignment horizontal="left" vertical="center"/>
    </xf>
    <xf numFmtId="0" fontId="18" fillId="0" borderId="11" xfId="0" applyFont="1" applyBorder="1" applyAlignment="1">
      <alignment horizontal="left"/>
    </xf>
    <xf numFmtId="0" fontId="18" fillId="2" borderId="11" xfId="0" applyFont="1" applyFill="1" applyBorder="1"/>
    <xf numFmtId="165" fontId="18" fillId="2" borderId="13" xfId="0" applyNumberFormat="1" applyFont="1" applyFill="1" applyBorder="1"/>
    <xf numFmtId="0" fontId="25" fillId="0" borderId="1" xfId="0" applyFont="1"/>
    <xf numFmtId="0" fontId="18" fillId="0" borderId="1" xfId="0" applyFont="1"/>
    <xf numFmtId="0" fontId="23" fillId="0" borderId="13" xfId="0" applyFont="1" applyBorder="1"/>
    <xf numFmtId="167" fontId="24" fillId="2" borderId="16" xfId="0" applyNumberFormat="1" applyFont="1" applyFill="1" applyBorder="1" applyAlignment="1">
      <alignment horizontal="right" vertical="center"/>
    </xf>
    <xf numFmtId="167" fontId="24" fillId="2" borderId="17" xfId="0" applyNumberFormat="1" applyFont="1" applyFill="1" applyBorder="1" applyAlignment="1">
      <alignment horizontal="right" vertical="center"/>
    </xf>
    <xf numFmtId="167" fontId="24" fillId="2" borderId="18" xfId="0" applyNumberFormat="1" applyFont="1" applyFill="1" applyBorder="1" applyAlignment="1">
      <alignment horizontal="right" vertical="center"/>
    </xf>
    <xf numFmtId="175" fontId="24" fillId="2" borderId="1" xfId="0" applyNumberFormat="1" applyFont="1" applyFill="1"/>
    <xf numFmtId="169" fontId="18" fillId="2" borderId="1" xfId="0" applyNumberFormat="1" applyFont="1" applyFill="1"/>
    <xf numFmtId="169" fontId="23" fillId="2" borderId="13" xfId="0" applyNumberFormat="1" applyFont="1" applyFill="1" applyBorder="1"/>
    <xf numFmtId="0" fontId="23" fillId="0" borderId="14" xfId="0" applyFont="1" applyBorder="1"/>
    <xf numFmtId="165" fontId="28" fillId="2" borderId="14" xfId="0" applyNumberFormat="1" applyFont="1" applyFill="1" applyBorder="1" applyAlignment="1">
      <alignment horizontal="right" vertical="center"/>
    </xf>
    <xf numFmtId="175" fontId="38" fillId="2" borderId="1" xfId="0" applyNumberFormat="1" applyFont="1" applyFill="1" applyBorder="1" applyAlignment="1">
      <alignment horizontal="right" vertical="center"/>
    </xf>
    <xf numFmtId="176" fontId="38" fillId="2" borderId="20" xfId="0" applyNumberFormat="1" applyFont="1" applyFill="1" applyBorder="1" applyAlignment="1">
      <alignment horizontal="right" vertical="center"/>
    </xf>
    <xf numFmtId="165" fontId="25" fillId="2" borderId="14" xfId="0" applyNumberFormat="1" applyFont="1" applyFill="1" applyBorder="1" applyAlignment="1">
      <alignment horizontal="left" vertical="center"/>
    </xf>
    <xf numFmtId="167" fontId="21" fillId="2" borderId="14" xfId="0" applyNumberFormat="1" applyFont="1" applyFill="1" applyBorder="1" applyAlignment="1">
      <alignment horizontal="right" vertical="center"/>
    </xf>
    <xf numFmtId="167" fontId="24" fillId="0" borderId="19" xfId="0" applyNumberFormat="1" applyFont="1" applyBorder="1"/>
    <xf numFmtId="167" fontId="24" fillId="0" borderId="20" xfId="0" applyNumberFormat="1" applyFont="1" applyBorder="1"/>
    <xf numFmtId="0" fontId="18" fillId="0" borderId="22" xfId="0" applyFont="1" applyBorder="1"/>
    <xf numFmtId="0" fontId="18" fillId="0" borderId="21" xfId="0" applyFont="1" applyBorder="1"/>
    <xf numFmtId="0" fontId="28" fillId="2" borderId="1" xfId="0" applyFont="1" applyFill="1" applyBorder="1"/>
    <xf numFmtId="0" fontId="28" fillId="0" borderId="1" xfId="2" applyFont="1" applyBorder="1"/>
    <xf numFmtId="0" fontId="28" fillId="0" borderId="1" xfId="1" applyFont="1" applyBorder="1"/>
    <xf numFmtId="0" fontId="28" fillId="0" borderId="1" xfId="5" applyFont="1" applyBorder="1"/>
    <xf numFmtId="0" fontId="28" fillId="2" borderId="1" xfId="5" quotePrefix="1" applyFont="1" applyFill="1" applyBorder="1"/>
    <xf numFmtId="0" fontId="28" fillId="2" borderId="1" xfId="5" applyFont="1" applyFill="1" applyBorder="1"/>
    <xf numFmtId="0" fontId="34" fillId="0" borderId="11" xfId="0" applyFont="1" applyBorder="1"/>
    <xf numFmtId="0" fontId="18" fillId="0" borderId="19" xfId="0" applyFont="1" applyBorder="1"/>
    <xf numFmtId="0" fontId="18" fillId="0" borderId="20" xfId="0" applyFont="1" applyBorder="1"/>
    <xf numFmtId="0" fontId="18" fillId="0" borderId="15" xfId="0" applyFont="1" applyBorder="1"/>
    <xf numFmtId="165" fontId="18" fillId="0" borderId="0" xfId="0" applyNumberFormat="1" applyFont="1" applyBorder="1"/>
    <xf numFmtId="167" fontId="19" fillId="0" borderId="0" xfId="0" applyNumberFormat="1" applyFont="1" applyBorder="1"/>
    <xf numFmtId="37" fontId="18" fillId="0" borderId="1" xfId="0" applyNumberFormat="1" applyFont="1" applyBorder="1"/>
    <xf numFmtId="167" fontId="19" fillId="0" borderId="1" xfId="0" applyNumberFormat="1" applyFont="1" applyBorder="1"/>
    <xf numFmtId="0" fontId="18" fillId="0" borderId="23" xfId="0" applyFont="1" applyBorder="1"/>
    <xf numFmtId="0" fontId="40" fillId="0" borderId="1" xfId="2" applyFont="1" applyBorder="1"/>
    <xf numFmtId="0" fontId="28" fillId="0" borderId="0" xfId="0" applyFont="1" applyBorder="1"/>
    <xf numFmtId="0" fontId="28" fillId="0" borderId="0" xfId="0" applyFont="1" applyBorder="1" applyAlignment="1">
      <alignment horizontal="left"/>
    </xf>
    <xf numFmtId="0" fontId="25" fillId="0" borderId="0" xfId="0" applyFont="1" applyBorder="1"/>
    <xf numFmtId="0" fontId="28" fillId="0" borderId="1" xfId="0" applyFont="1" applyBorder="1"/>
    <xf numFmtId="0" fontId="25" fillId="0" borderId="11" xfId="0" applyFont="1" applyBorder="1"/>
    <xf numFmtId="0" fontId="28" fillId="0" borderId="11" xfId="0" applyFont="1" applyBorder="1"/>
    <xf numFmtId="0" fontId="25" fillId="0" borderId="3" xfId="0" applyFont="1" applyBorder="1"/>
    <xf numFmtId="0" fontId="28" fillId="0" borderId="3" xfId="0" applyFont="1" applyBorder="1"/>
    <xf numFmtId="0" fontId="25" fillId="0" borderId="1" xfId="0" applyFont="1" applyBorder="1"/>
    <xf numFmtId="0" fontId="21" fillId="0" borderId="1" xfId="0" applyFont="1" applyBorder="1"/>
    <xf numFmtId="0" fontId="21" fillId="2" borderId="1" xfId="0" applyFont="1" applyFill="1" applyBorder="1"/>
    <xf numFmtId="0" fontId="41" fillId="0" borderId="0" xfId="0" applyFont="1" applyBorder="1"/>
    <xf numFmtId="0" fontId="34" fillId="0" borderId="0" xfId="0" applyFont="1" applyBorder="1"/>
    <xf numFmtId="0" fontId="34" fillId="3" borderId="0" xfId="0" applyFont="1" applyFill="1" applyBorder="1"/>
    <xf numFmtId="0" fontId="42" fillId="3" borderId="0" xfId="0" applyFont="1" applyFill="1" applyBorder="1" applyAlignment="1">
      <alignment horizontal="center" vertical="center"/>
    </xf>
    <xf numFmtId="0" fontId="43" fillId="5" borderId="0" xfId="0" applyFont="1" applyFill="1" applyBorder="1"/>
    <xf numFmtId="0" fontId="34" fillId="5" borderId="0" xfId="0" applyFont="1" applyFill="1" applyBorder="1"/>
    <xf numFmtId="0" fontId="34" fillId="0" borderId="2" xfId="0" applyFont="1" applyBorder="1"/>
    <xf numFmtId="0" fontId="35" fillId="2" borderId="3" xfId="0" applyNumberFormat="1" applyFont="1" applyFill="1" applyBorder="1" applyAlignment="1">
      <alignment horizontal="right" vertical="center" wrapText="1"/>
    </xf>
    <xf numFmtId="166" fontId="34" fillId="0" borderId="0" xfId="0" applyNumberFormat="1" applyFont="1" applyBorder="1"/>
    <xf numFmtId="167" fontId="34" fillId="0" borderId="0" xfId="0" applyNumberFormat="1" applyFont="1" applyBorder="1"/>
    <xf numFmtId="165" fontId="34" fillId="0" borderId="0" xfId="0" applyNumberFormat="1" applyFont="1" applyBorder="1"/>
    <xf numFmtId="166" fontId="24" fillId="2" borderId="1" xfId="0" applyNumberFormat="1" applyFont="1" applyFill="1" applyBorder="1" applyAlignment="1">
      <alignment horizontal="right" vertical="center"/>
    </xf>
    <xf numFmtId="167" fontId="28" fillId="2" borderId="13" xfId="0" applyNumberFormat="1" applyFont="1" applyFill="1" applyBorder="1" applyAlignment="1">
      <alignment horizontal="right" vertical="center"/>
    </xf>
    <xf numFmtId="0" fontId="18" fillId="0" borderId="24" xfId="0" applyFont="1" applyBorder="1"/>
    <xf numFmtId="169" fontId="34" fillId="0" borderId="0" xfId="0" applyNumberFormat="1" applyFont="1" applyBorder="1"/>
    <xf numFmtId="174" fontId="34" fillId="0" borderId="0" xfId="0" applyNumberFormat="1" applyFont="1" applyBorder="1"/>
    <xf numFmtId="0" fontId="34" fillId="0" borderId="25" xfId="0" applyFont="1" applyBorder="1"/>
    <xf numFmtId="169" fontId="28" fillId="2" borderId="1" xfId="0" applyNumberFormat="1" applyFont="1" applyFill="1" applyBorder="1" applyAlignment="1">
      <alignment horizontal="right" vertical="center"/>
    </xf>
    <xf numFmtId="0" fontId="35" fillId="0" borderId="26" xfId="0" applyFont="1" applyBorder="1"/>
    <xf numFmtId="0" fontId="35" fillId="0" borderId="15" xfId="0" applyFont="1" applyBorder="1"/>
    <xf numFmtId="165" fontId="34" fillId="0" borderId="27" xfId="0" applyNumberFormat="1" applyFont="1" applyBorder="1"/>
    <xf numFmtId="166" fontId="34" fillId="0" borderId="27" xfId="0" applyNumberFormat="1" applyFont="1" applyBorder="1"/>
    <xf numFmtId="0" fontId="34" fillId="0" borderId="27" xfId="0" applyFont="1" applyBorder="1"/>
    <xf numFmtId="174" fontId="34" fillId="0" borderId="27" xfId="0" applyNumberFormat="1" applyFont="1" applyBorder="1"/>
    <xf numFmtId="165" fontId="34" fillId="0" borderId="30" xfId="0" applyNumberFormat="1" applyFont="1" applyBorder="1"/>
    <xf numFmtId="165" fontId="34" fillId="0" borderId="11" xfId="0" applyNumberFormat="1" applyFont="1" applyBorder="1"/>
    <xf numFmtId="0" fontId="35" fillId="0" borderId="28" xfId="0" applyFont="1" applyBorder="1"/>
    <xf numFmtId="167" fontId="34" fillId="0" borderId="29" xfId="0" applyNumberFormat="1" applyFont="1" applyBorder="1"/>
    <xf numFmtId="0" fontId="34" fillId="7" borderId="0" xfId="0" applyFont="1" applyFill="1" applyBorder="1"/>
    <xf numFmtId="0" fontId="34" fillId="7" borderId="1" xfId="0" applyFont="1" applyFill="1" applyBorder="1"/>
    <xf numFmtId="0" fontId="18" fillId="7" borderId="0" xfId="0" applyFont="1" applyFill="1" applyBorder="1"/>
    <xf numFmtId="0" fontId="18" fillId="7" borderId="1" xfId="0" applyFont="1" applyFill="1" applyBorder="1"/>
    <xf numFmtId="0" fontId="18" fillId="0" borderId="26" xfId="0" applyFont="1" applyBorder="1"/>
    <xf numFmtId="0" fontId="18" fillId="0" borderId="25" xfId="0" applyFont="1" applyBorder="1"/>
    <xf numFmtId="0" fontId="23" fillId="0" borderId="31" xfId="0" applyFont="1" applyBorder="1"/>
    <xf numFmtId="165" fontId="23" fillId="0" borderId="11" xfId="0" applyNumberFormat="1" applyFont="1" applyBorder="1"/>
    <xf numFmtId="0" fontId="18" fillId="0" borderId="32" xfId="0" applyFont="1" applyBorder="1" applyAlignment="1">
      <alignment horizontal="center"/>
    </xf>
    <xf numFmtId="0" fontId="18" fillId="0" borderId="33" xfId="0" applyFont="1" applyBorder="1" applyAlignment="1">
      <alignment horizontal="center"/>
    </xf>
    <xf numFmtId="0" fontId="18" fillId="0" borderId="34" xfId="0" applyFont="1" applyBorder="1" applyAlignment="1">
      <alignment horizontal="center"/>
    </xf>
    <xf numFmtId="167" fontId="24" fillId="0" borderId="36" xfId="0" applyNumberFormat="1" applyFont="1" applyBorder="1"/>
    <xf numFmtId="167" fontId="28" fillId="0" borderId="19" xfId="0" applyNumberFormat="1" applyFont="1" applyBorder="1"/>
    <xf numFmtId="167" fontId="28" fillId="0" borderId="35" xfId="0" applyNumberFormat="1" applyFont="1" applyBorder="1"/>
    <xf numFmtId="167" fontId="28" fillId="0" borderId="20" xfId="0" applyNumberFormat="1" applyFont="1" applyBorder="1"/>
    <xf numFmtId="167" fontId="28" fillId="0" borderId="36" xfId="0" applyNumberFormat="1" applyFont="1" applyBorder="1"/>
    <xf numFmtId="166" fontId="27" fillId="2" borderId="14" xfId="0" applyNumberFormat="1" applyFont="1" applyFill="1" applyBorder="1" applyAlignment="1">
      <alignment horizontal="right" vertical="center"/>
    </xf>
    <xf numFmtId="0" fontId="45" fillId="2" borderId="3" xfId="0" applyNumberFormat="1" applyFont="1" applyFill="1" applyBorder="1" applyAlignment="1">
      <alignment horizontal="right" vertical="center" wrapText="1"/>
    </xf>
    <xf numFmtId="0" fontId="23" fillId="2" borderId="1" xfId="0" applyFont="1" applyFill="1" applyBorder="1" applyAlignment="1">
      <alignment horizontal="left"/>
    </xf>
    <xf numFmtId="164" fontId="46" fillId="0" borderId="1" xfId="0" applyNumberFormat="1" applyFont="1" applyAlignment="1">
      <alignment vertical="center"/>
    </xf>
    <xf numFmtId="0" fontId="47" fillId="3" borderId="0" xfId="0" applyFont="1" applyFill="1" applyBorder="1" applyAlignment="1">
      <alignment horizontal="center" vertical="center"/>
    </xf>
    <xf numFmtId="0" fontId="19" fillId="2" borderId="1" xfId="0" applyFont="1" applyFill="1" applyBorder="1" applyAlignment="1">
      <alignment horizontal="left" vertical="center" indent="2"/>
    </xf>
    <xf numFmtId="0" fontId="18" fillId="2" borderId="1" xfId="0" applyFont="1" applyFill="1" applyBorder="1" applyAlignment="1">
      <alignment horizontal="left" vertical="center" indent="2"/>
    </xf>
    <xf numFmtId="0" fontId="31" fillId="0" borderId="0" xfId="0" applyFont="1" applyBorder="1"/>
    <xf numFmtId="168" fontId="34" fillId="0" borderId="0" xfId="0" applyNumberFormat="1" applyFont="1" applyBorder="1"/>
    <xf numFmtId="0" fontId="40" fillId="0" borderId="0" xfId="0" applyFont="1" applyBorder="1"/>
    <xf numFmtId="0" fontId="40" fillId="5" borderId="0" xfId="0" applyFont="1" applyFill="1" applyBorder="1"/>
    <xf numFmtId="0" fontId="40" fillId="0" borderId="2" xfId="0" applyFont="1" applyBorder="1"/>
    <xf numFmtId="0" fontId="23" fillId="0" borderId="12" xfId="0" applyFont="1" applyBorder="1"/>
    <xf numFmtId="0" fontId="18" fillId="0" borderId="12" xfId="0" applyFont="1" applyBorder="1" applyAlignment="1">
      <alignment horizontal="left"/>
    </xf>
    <xf numFmtId="0" fontId="18" fillId="0" borderId="12" xfId="0" applyFont="1" applyBorder="1"/>
    <xf numFmtId="0" fontId="18" fillId="2" borderId="12" xfId="0" applyFont="1" applyFill="1" applyBorder="1"/>
    <xf numFmtId="0" fontId="23" fillId="0" borderId="11" xfId="0" applyFont="1" applyBorder="1" applyAlignment="1">
      <alignment horizontal="left" indent="1"/>
    </xf>
    <xf numFmtId="0" fontId="23" fillId="0" borderId="1" xfId="0" applyFont="1" applyBorder="1" applyAlignment="1">
      <alignment horizontal="left" indent="1"/>
    </xf>
    <xf numFmtId="0" fontId="23" fillId="0" borderId="2" xfId="0" applyFont="1" applyBorder="1" applyAlignment="1">
      <alignment horizontal="left" indent="1"/>
    </xf>
    <xf numFmtId="0" fontId="18" fillId="0" borderId="2" xfId="0" applyFont="1" applyBorder="1" applyAlignment="1">
      <alignment horizontal="left"/>
    </xf>
    <xf numFmtId="0" fontId="18" fillId="2" borderId="2" xfId="0" applyFont="1" applyFill="1" applyBorder="1"/>
    <xf numFmtId="0" fontId="34" fillId="0" borderId="1" xfId="0" applyFont="1" applyAlignment="1"/>
    <xf numFmtId="0" fontId="48" fillId="0" borderId="0" xfId="0" applyFont="1" applyBorder="1"/>
    <xf numFmtId="0" fontId="40" fillId="0" borderId="1" xfId="0" applyFont="1" applyAlignment="1">
      <alignment vertical="top" wrapText="1"/>
    </xf>
    <xf numFmtId="165" fontId="49" fillId="4" borderId="1" xfId="0" applyNumberFormat="1" applyFont="1" applyFill="1" applyBorder="1" applyAlignment="1">
      <alignment horizontal="center" vertical="center"/>
    </xf>
    <xf numFmtId="0" fontId="45" fillId="2" borderId="11" xfId="0" applyFont="1" applyFill="1" applyBorder="1" applyAlignment="1">
      <alignment horizontal="center" vertical="center"/>
    </xf>
    <xf numFmtId="0" fontId="31" fillId="0" borderId="1" xfId="0" applyFont="1" applyBorder="1"/>
    <xf numFmtId="0" fontId="34" fillId="2" borderId="0" xfId="0" applyFont="1" applyFill="1" applyBorder="1"/>
    <xf numFmtId="0" fontId="34" fillId="0" borderId="15" xfId="0" applyFont="1" applyBorder="1"/>
    <xf numFmtId="175" fontId="34" fillId="0" borderId="0" xfId="0" applyNumberFormat="1" applyFont="1" applyBorder="1"/>
    <xf numFmtId="0" fontId="35" fillId="0" borderId="15" xfId="0" applyFont="1" applyBorder="1" applyAlignment="1">
      <alignment horizontal="centerContinuous"/>
    </xf>
    <xf numFmtId="0" fontId="35" fillId="0" borderId="28" xfId="0" applyFont="1" applyBorder="1" applyAlignment="1">
      <alignment horizontal="centerContinuous"/>
    </xf>
    <xf numFmtId="0" fontId="35" fillId="0" borderId="14" xfId="0" applyFont="1" applyBorder="1"/>
    <xf numFmtId="0" fontId="34" fillId="0" borderId="14" xfId="0" applyFont="1" applyBorder="1"/>
    <xf numFmtId="0" fontId="33" fillId="2" borderId="0" xfId="0" applyFont="1" applyFill="1" applyBorder="1"/>
    <xf numFmtId="0" fontId="34" fillId="2" borderId="1" xfId="0" applyFont="1" applyFill="1" applyBorder="1"/>
    <xf numFmtId="0" fontId="31" fillId="2" borderId="1" xfId="0" applyFont="1" applyFill="1" applyBorder="1"/>
    <xf numFmtId="0" fontId="50" fillId="2" borderId="3" xfId="0" applyNumberFormat="1" applyFont="1" applyFill="1" applyBorder="1" applyAlignment="1">
      <alignment horizontal="right" vertical="center" wrapText="1"/>
    </xf>
    <xf numFmtId="2" fontId="18" fillId="2" borderId="1" xfId="0" applyNumberFormat="1" applyFont="1" applyFill="1" applyBorder="1"/>
    <xf numFmtId="166" fontId="28" fillId="2" borderId="1" xfId="0" applyNumberFormat="1" applyFont="1" applyFill="1" applyBorder="1" applyAlignment="1">
      <alignment horizontal="right" vertical="center"/>
    </xf>
    <xf numFmtId="0" fontId="51" fillId="0" borderId="1" xfId="0" applyFont="1" applyBorder="1"/>
    <xf numFmtId="0" fontId="35" fillId="0" borderId="1" xfId="0" applyFont="1" applyBorder="1" applyAlignment="1">
      <alignment horizontal="centerContinuous"/>
    </xf>
    <xf numFmtId="0" fontId="34" fillId="0" borderId="1" xfId="0" applyFont="1" applyBorder="1" applyAlignment="1">
      <alignment horizontal="centerContinuous"/>
    </xf>
    <xf numFmtId="0" fontId="35" fillId="2" borderId="1" xfId="0" applyNumberFormat="1" applyFont="1" applyFill="1" applyBorder="1" applyAlignment="1">
      <alignment horizontal="centerContinuous" vertical="center" wrapText="1"/>
    </xf>
    <xf numFmtId="0" fontId="44" fillId="0" borderId="1" xfId="0" applyFont="1" applyBorder="1" applyAlignment="1">
      <alignment horizontal="centerContinuous"/>
    </xf>
    <xf numFmtId="0" fontId="23" fillId="2" borderId="1" xfId="0" applyNumberFormat="1" applyFont="1" applyFill="1" applyBorder="1" applyAlignment="1">
      <alignment horizontal="centerContinuous" vertical="center" wrapText="1"/>
    </xf>
    <xf numFmtId="164" fontId="52" fillId="0" borderId="1" xfId="0" applyNumberFormat="1" applyFont="1" applyAlignment="1">
      <alignment vertical="center"/>
    </xf>
    <xf numFmtId="0" fontId="10" fillId="2" borderId="3" xfId="0" applyNumberFormat="1" applyFont="1" applyFill="1" applyBorder="1" applyAlignment="1">
      <alignment horizontal="right" vertical="center" wrapText="1"/>
    </xf>
    <xf numFmtId="0" fontId="53" fillId="0" borderId="1" xfId="0" applyFont="1" applyBorder="1"/>
    <xf numFmtId="0" fontId="54" fillId="0" borderId="1" xfId="0" applyFont="1" applyBorder="1"/>
    <xf numFmtId="0" fontId="54" fillId="0" borderId="0" xfId="0" applyFont="1" applyBorder="1"/>
    <xf numFmtId="0" fontId="55" fillId="0" borderId="1" xfId="0" applyFont="1" applyBorder="1"/>
  </cellXfs>
  <cellStyles count="6">
    <cellStyle name="Hyperlink" xfId="5" builtinId="8"/>
    <cellStyle name="Hyperlink 2" xfId="3" xr:uid="{34FBE583-3F66-4BD7-8706-F0AF6764BA75}"/>
    <cellStyle name="Hyperlink 2 2" xfId="4" xr:uid="{E9DF7208-F8A9-46D5-B9DE-3918BE777BF6}"/>
    <cellStyle name="Normal" xfId="0" builtinId="0"/>
    <cellStyle name="Normal 2" xfId="1" xr:uid="{EA378576-0922-4183-A0DD-408AFB74EE7C}"/>
    <cellStyle name="Normal 2 2 2" xfId="2" xr:uid="{CE03F2FD-568C-4E11-A66A-FB71C5C00645}"/>
  </cellStyles>
  <dxfs count="3">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140A5E"/>
      <color rgb="FF1A2732"/>
      <color rgb="FFC0C0C0"/>
      <color rgb="FF0F1F4D"/>
      <color rgb="FFF4F5F7"/>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6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3: How did</a:t>
            </a:r>
            <a:r>
              <a:rPr lang="en-US" sz="1600" b="1"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Cars and Vans Profitability Diverge</a:t>
            </a:r>
            <a:r>
              <a:rPr lang="en-US" sz="16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manualLayout>
          <c:layoutTarget val="inner"/>
          <c:xMode val="edge"/>
          <c:yMode val="edge"/>
          <c:x val="0.11797478218962235"/>
          <c:y val="3.468744304629743E-2"/>
          <c:w val="0.86126474242669893"/>
          <c:h val="0.87993923614128644"/>
        </c:manualLayout>
      </c:layout>
      <c:lineChart>
        <c:grouping val="standard"/>
        <c:varyColors val="0"/>
        <c:ser>
          <c:idx val="0"/>
          <c:order val="0"/>
          <c:tx>
            <c:v>Cars Adjusted RoS</c:v>
          </c:tx>
          <c:spPr>
            <a:ln w="28575" cap="rnd">
              <a:solidFill>
                <a:schemeClr val="tx2"/>
              </a:solidFill>
              <a:round/>
            </a:ln>
            <a:effectLst/>
          </c:spPr>
          <c:marker>
            <c:symbol val="diamond"/>
            <c:size val="7"/>
            <c:spPr>
              <a:solidFill>
                <a:schemeClr val="tx2">
                  <a:lumMod val="50000"/>
                </a:schemeClr>
              </a:solidFill>
              <a:ln w="9525">
                <a:noFill/>
              </a:ln>
              <a:effectLst/>
            </c:spPr>
          </c:marker>
          <c:dLbls>
            <c:dLbl>
              <c:idx val="3"/>
              <c:layout>
                <c:manualLayout>
                  <c:x val="-3.2454457624896127E-2"/>
                  <c:y val="-3.61834058370116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9D-4F8D-8758-D70F4B41AE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Analysis'!$I$11:$M$11</c:f>
              <c:numCache>
                <c:formatCode>_(#,##0.0%_);\(#,##0.0%\);_("–"_)_%;_(@_)_%</c:formatCode>
                <c:ptCount val="5"/>
                <c:pt idx="0">
                  <c:v>0.13100000000000001</c:v>
                </c:pt>
                <c:pt idx="1">
                  <c:v>0.14599999999999999</c:v>
                </c:pt>
                <c:pt idx="2">
                  <c:v>0.126</c:v>
                </c:pt>
                <c:pt idx="3">
                  <c:v>8.1000000000000003E-2</c:v>
                </c:pt>
                <c:pt idx="4">
                  <c:v>0.05</c:v>
                </c:pt>
              </c:numCache>
            </c:numRef>
          </c:val>
          <c:smooth val="0"/>
          <c:extLst>
            <c:ext xmlns:c16="http://schemas.microsoft.com/office/drawing/2014/chart" uri="{C3380CC4-5D6E-409C-BE32-E72D297353CC}">
              <c16:uniqueId val="{00000000-F59D-4F8D-8758-D70F4B41AE3E}"/>
            </c:ext>
          </c:extLst>
        </c:ser>
        <c:ser>
          <c:idx val="1"/>
          <c:order val="1"/>
          <c:tx>
            <c:v>Vans Adjusted RoS</c:v>
          </c:tx>
          <c:spPr>
            <a:ln w="28575" cap="rnd">
              <a:solidFill>
                <a:schemeClr val="tx1">
                  <a:lumMod val="50000"/>
                  <a:lumOff val="50000"/>
                </a:schemeClr>
              </a:solidFill>
              <a:round/>
            </a:ln>
            <a:effectLst/>
          </c:spPr>
          <c:marker>
            <c:symbol val="diamond"/>
            <c:size val="7"/>
            <c:spPr>
              <a:solidFill>
                <a:schemeClr val="tx1">
                  <a:lumMod val="95000"/>
                  <a:lumOff val="5000"/>
                </a:schemeClr>
              </a:solidFill>
              <a:ln w="9525">
                <a:noFill/>
              </a:ln>
              <a:effectLst/>
            </c:spPr>
          </c:marker>
          <c:dLbls>
            <c:dLbl>
              <c:idx val="1"/>
              <c:layout>
                <c:manualLayout>
                  <c:x val="-5.4935941146170141E-2"/>
                  <c:y val="-2.68735181046097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9D-4F8D-8758-D70F4B41AE3E}"/>
                </c:ext>
              </c:extLst>
            </c:dLbl>
            <c:dLbl>
              <c:idx val="4"/>
              <c:layout>
                <c:manualLayout>
                  <c:x val="-3.1680739749224265E-2"/>
                  <c:y val="-2.94347254133677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9D-4F8D-8758-D70F4B41AE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Analysis'!$I$18:$M$18</c:f>
              <c:numCache>
                <c:formatCode>_(#,##0.0%_);\(#,##0.0%\);_("–"_)_%;_(@_)_%</c:formatCode>
                <c:ptCount val="5"/>
                <c:pt idx="0">
                  <c:v>8.3000000000000004E-2</c:v>
                </c:pt>
                <c:pt idx="1">
                  <c:v>0.112</c:v>
                </c:pt>
                <c:pt idx="2">
                  <c:v>0.151</c:v>
                </c:pt>
                <c:pt idx="3">
                  <c:v>0.14599999999999999</c:v>
                </c:pt>
                <c:pt idx="4">
                  <c:v>0.10199999999999999</c:v>
                </c:pt>
              </c:numCache>
            </c:numRef>
          </c:val>
          <c:smooth val="0"/>
          <c:extLst>
            <c:ext xmlns:c16="http://schemas.microsoft.com/office/drawing/2014/chart" uri="{C3380CC4-5D6E-409C-BE32-E72D297353CC}">
              <c16:uniqueId val="{00000001-F59D-4F8D-8758-D70F4B41AE3E}"/>
            </c:ext>
          </c:extLst>
        </c:ser>
        <c:dLbls>
          <c:dLblPos val="t"/>
          <c:showLegendKey val="0"/>
          <c:showVal val="1"/>
          <c:showCatName val="0"/>
          <c:showSerName val="0"/>
          <c:showPercent val="0"/>
          <c:showBubbleSize val="0"/>
        </c:dLbls>
        <c:marker val="1"/>
        <c:smooth val="0"/>
        <c:axId val="66625983"/>
        <c:axId val="66626943"/>
      </c:lineChart>
      <c:catAx>
        <c:axId val="6662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6626943"/>
        <c:crosses val="autoZero"/>
        <c:auto val="1"/>
        <c:lblAlgn val="ctr"/>
        <c:lblOffset val="100"/>
        <c:noMultiLvlLbl val="0"/>
      </c:catAx>
      <c:valAx>
        <c:axId val="66626943"/>
        <c:scaling>
          <c:orientation val="minMax"/>
          <c:max val="0.18000000000000002"/>
          <c:min val="3.0000000000000006E-2"/>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Adjusted Return on Sales (RoS)</a:t>
                </a:r>
              </a:p>
            </c:rich>
          </c:tx>
          <c:layout>
            <c:manualLayout>
              <c:xMode val="edge"/>
              <c:yMode val="edge"/>
              <c:x val="1.7454486050638172E-2"/>
              <c:y val="0.3212585810189493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0%_);\(#,##0.0%\);_(&quot;–&quot;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6625983"/>
        <c:crosses val="autoZero"/>
        <c:crossBetween val="between"/>
      </c:valAx>
      <c:spPr>
        <a:noFill/>
        <a:ln>
          <a:noFill/>
        </a:ln>
        <a:effectLst/>
      </c:spPr>
    </c:plotArea>
    <c:legend>
      <c:legendPos val="b"/>
      <c:layout>
        <c:manualLayout>
          <c:xMode val="edge"/>
          <c:yMode val="edge"/>
          <c:x val="0.13320512464235734"/>
          <c:y val="0.83010999172169408"/>
          <c:w val="0.34690846230613487"/>
          <c:h val="4.35272610508455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2: How Did Cars and Vans Volumes Evolve After 2023?</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'Segment Analysis'!$Q$74</c:f>
              <c:strCache>
                <c:ptCount val="1"/>
                <c:pt idx="0">
                  <c:v>Cars Volume</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Analysis'!$R$74:$V$74</c:f>
              <c:numCache>
                <c:formatCode>_(#,##0.00_);\(#,##0.00\);_("–"_);_(@_)</c:formatCode>
                <c:ptCount val="5"/>
                <c:pt idx="0">
                  <c:v>1.94</c:v>
                </c:pt>
                <c:pt idx="1">
                  <c:v>2.04</c:v>
                </c:pt>
                <c:pt idx="2">
                  <c:v>2.04</c:v>
                </c:pt>
                <c:pt idx="3">
                  <c:v>1.98</c:v>
                </c:pt>
                <c:pt idx="4">
                  <c:v>1.8</c:v>
                </c:pt>
              </c:numCache>
            </c:numRef>
          </c:val>
          <c:extLst>
            <c:ext xmlns:c16="http://schemas.microsoft.com/office/drawing/2014/chart" uri="{C3380CC4-5D6E-409C-BE32-E72D297353CC}">
              <c16:uniqueId val="{00000000-7DC2-4D6F-829D-7DFE6E059B88}"/>
            </c:ext>
          </c:extLst>
        </c:ser>
        <c:ser>
          <c:idx val="1"/>
          <c:order val="1"/>
          <c:tx>
            <c:strRef>
              <c:f>'Segment Analysis'!$Q$75</c:f>
              <c:strCache>
                <c:ptCount val="1"/>
                <c:pt idx="0">
                  <c:v>Vans Volume</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Analysis'!$R$75:$V$75</c:f>
              <c:numCache>
                <c:formatCode>_(#,##0.00_);\(#,##0.00\);_("–"_);_(@_)</c:formatCode>
                <c:ptCount val="5"/>
                <c:pt idx="0">
                  <c:v>0.38619999999999999</c:v>
                </c:pt>
                <c:pt idx="1">
                  <c:v>0.4153</c:v>
                </c:pt>
                <c:pt idx="2">
                  <c:v>0.44780000000000003</c:v>
                </c:pt>
                <c:pt idx="3">
                  <c:v>0.40561000000000003</c:v>
                </c:pt>
                <c:pt idx="4">
                  <c:v>0.35913600000000001</c:v>
                </c:pt>
              </c:numCache>
            </c:numRef>
          </c:val>
          <c:extLst>
            <c:ext xmlns:c16="http://schemas.microsoft.com/office/drawing/2014/chart" uri="{C3380CC4-5D6E-409C-BE32-E72D297353CC}">
              <c16:uniqueId val="{00000001-7DC2-4D6F-829D-7DFE6E059B88}"/>
            </c:ext>
          </c:extLst>
        </c:ser>
        <c:dLbls>
          <c:dLblPos val="ctr"/>
          <c:showLegendKey val="0"/>
          <c:showVal val="1"/>
          <c:showCatName val="0"/>
          <c:showSerName val="0"/>
          <c:showPercent val="0"/>
          <c:showBubbleSize val="0"/>
        </c:dLbls>
        <c:gapWidth val="150"/>
        <c:overlap val="100"/>
        <c:axId val="1355719871"/>
        <c:axId val="1355723231"/>
      </c:barChart>
      <c:catAx>
        <c:axId val="135571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355723231"/>
        <c:crosses val="autoZero"/>
        <c:auto val="1"/>
        <c:lblAlgn val="ctr"/>
        <c:lblOffset val="100"/>
        <c:noMultiLvlLbl val="0"/>
      </c:catAx>
      <c:valAx>
        <c:axId val="1355723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Vollume (</a:t>
                </a:r>
                <a:r>
                  <a:rPr lang="en-US" sz="1000" b="0" i="0" u="none" strike="noStrike" baseline="0">
                    <a:latin typeface="Open Sans" panose="020B0606030504020204" pitchFamily="34" charset="0"/>
                    <a:ea typeface="Open Sans" panose="020B0606030504020204" pitchFamily="34" charset="0"/>
                    <a:cs typeface="Open Sans" panose="020B0606030504020204" pitchFamily="34" charset="0"/>
                  </a:rPr>
                  <a:t>€ </a:t>
                </a:r>
                <a:r>
                  <a:rPr lang="en-US" b="1">
                    <a:latin typeface="Open Sans" panose="020B0606030504020204" pitchFamily="34" charset="0"/>
                    <a:ea typeface="Open Sans" panose="020B0606030504020204" pitchFamily="34" charset="0"/>
                    <a:cs typeface="Open Sans" panose="020B0606030504020204" pitchFamily="34" charset="0"/>
                  </a:rPr>
                  <a:t>millions)</a:t>
                </a:r>
              </a:p>
            </c:rich>
          </c:tx>
          <c:layout>
            <c:manualLayout>
              <c:xMode val="edge"/>
              <c:yMode val="edge"/>
              <c:x val="1.2403644531885735E-2"/>
              <c:y val="0.327722518044608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00_);\(#,##0.0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355719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4: How Much Automotive Margin Has Mercedes-Benz Lost Since 2022?</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lineChart>
        <c:grouping val="standard"/>
        <c:varyColors val="0"/>
        <c:ser>
          <c:idx val="0"/>
          <c:order val="0"/>
          <c:tx>
            <c:strRef>
              <c:f>'Segment Analysis'!$Q$134</c:f>
              <c:strCache>
                <c:ptCount val="1"/>
                <c:pt idx="0">
                  <c:v>Cars &amp; Vans Adjusted EBIT Margin</c:v>
                </c:pt>
              </c:strCache>
            </c:strRef>
          </c:tx>
          <c:spPr>
            <a:ln w="28575" cap="rnd">
              <a:solidFill>
                <a:schemeClr val="tx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Analysis'!$R$134:$V$134</c:f>
              <c:numCache>
                <c:formatCode>_(#,##0.0%_);\(#,##0.0%\);_("–"_)_%;_(@_)_%</c:formatCode>
                <c:ptCount val="5"/>
                <c:pt idx="0">
                  <c:v>0.12488447423438945</c:v>
                </c:pt>
                <c:pt idx="1">
                  <c:v>0.14106724215559938</c:v>
                </c:pt>
                <c:pt idx="2">
                  <c:v>0.13014491446438772</c:v>
                </c:pt>
                <c:pt idx="3">
                  <c:v>9.050920279192011E-2</c:v>
                </c:pt>
                <c:pt idx="4">
                  <c:v>5.7487561093743117E-2</c:v>
                </c:pt>
              </c:numCache>
            </c:numRef>
          </c:val>
          <c:smooth val="0"/>
          <c:extLst>
            <c:ext xmlns:c16="http://schemas.microsoft.com/office/drawing/2014/chart" uri="{C3380CC4-5D6E-409C-BE32-E72D297353CC}">
              <c16:uniqueId val="{00000005-8D79-4476-9681-168454BB1B97}"/>
            </c:ext>
          </c:extLst>
        </c:ser>
        <c:dLbls>
          <c:showLegendKey val="0"/>
          <c:showVal val="0"/>
          <c:showCatName val="0"/>
          <c:showSerName val="0"/>
          <c:showPercent val="0"/>
          <c:showBubbleSize val="0"/>
        </c:dLbls>
        <c:smooth val="0"/>
        <c:axId val="1086257263"/>
        <c:axId val="1086256303"/>
      </c:lineChart>
      <c:catAx>
        <c:axId val="10862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086256303"/>
        <c:crosses val="autoZero"/>
        <c:auto val="1"/>
        <c:lblAlgn val="ctr"/>
        <c:lblOffset val="100"/>
        <c:noMultiLvlLbl val="0"/>
      </c:catAx>
      <c:valAx>
        <c:axId val="1086256303"/>
        <c:scaling>
          <c:orientation val="minMax"/>
        </c:scaling>
        <c:delete val="0"/>
        <c:axPos val="l"/>
        <c:numFmt formatCode="_(#,##0.0%_);\(#,##0.0%\);_(&quot;–&quot;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08625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6: Did Revenue per Vehicle</a:t>
            </a:r>
            <a:r>
              <a:rPr lang="en-US" b="1"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Rise as Volumes Fell?</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manualLayout>
          <c:layoutTarget val="inner"/>
          <c:xMode val="edge"/>
          <c:yMode val="edge"/>
          <c:x val="0.12212292213473316"/>
          <c:y val="0.17171296296296296"/>
          <c:w val="0.82912664041994744"/>
          <c:h val="0.72088764946048411"/>
        </c:manualLayout>
      </c:layout>
      <c:lineChart>
        <c:grouping val="standard"/>
        <c:varyColors val="0"/>
        <c:ser>
          <c:idx val="0"/>
          <c:order val="0"/>
          <c:tx>
            <c:strRef>
              <c:f>'Segment Analysis'!$Q$165</c:f>
              <c:strCache>
                <c:ptCount val="1"/>
                <c:pt idx="0">
                  <c:v>Cars Revenue / Vehicle</c:v>
                </c:pt>
              </c:strCache>
            </c:strRef>
          </c:tx>
          <c:spPr>
            <a:ln w="28575" cap="rnd">
              <a:solidFill>
                <a:schemeClr val="tx2"/>
              </a:solidFill>
              <a:round/>
            </a:ln>
            <a:effectLst/>
          </c:spPr>
          <c:marker>
            <c:symbol val="diamond"/>
            <c:size val="5"/>
            <c:spPr>
              <a:solidFill>
                <a:schemeClr val="tx2"/>
              </a:solidFill>
              <a:ln w="9525">
                <a:no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Analysis'!$R$165:$V$165</c:f>
              <c:numCache>
                <c:formatCode>_(#,##0_);\(#,##0\);_("–"_);_(@_)</c:formatCode>
                <c:ptCount val="5"/>
                <c:pt idx="0">
                  <c:v>49851.546391752578</c:v>
                </c:pt>
                <c:pt idx="1">
                  <c:v>54706.372549019608</c:v>
                </c:pt>
                <c:pt idx="2">
                  <c:v>55272.549019607839</c:v>
                </c:pt>
                <c:pt idx="3">
                  <c:v>54424.747474747477</c:v>
                </c:pt>
                <c:pt idx="4">
                  <c:v>53559.444444444445</c:v>
                </c:pt>
              </c:numCache>
            </c:numRef>
          </c:val>
          <c:smooth val="0"/>
          <c:extLst>
            <c:ext xmlns:c16="http://schemas.microsoft.com/office/drawing/2014/chart" uri="{C3380CC4-5D6E-409C-BE32-E72D297353CC}">
              <c16:uniqueId val="{00000000-87C5-406E-814A-539C2B689138}"/>
            </c:ext>
          </c:extLst>
        </c:ser>
        <c:ser>
          <c:idx val="1"/>
          <c:order val="1"/>
          <c:tx>
            <c:strRef>
              <c:f>'Segment Analysis'!$Q$169</c:f>
              <c:strCache>
                <c:ptCount val="1"/>
                <c:pt idx="0">
                  <c:v>Vans Revenue / Vehicle</c:v>
                </c:pt>
              </c:strCache>
            </c:strRef>
          </c:tx>
          <c:spPr>
            <a:ln w="28575" cap="rnd">
              <a:solidFill>
                <a:schemeClr val="tx1">
                  <a:lumMod val="50000"/>
                  <a:lumOff val="50000"/>
                </a:schemeClr>
              </a:solidFill>
              <a:round/>
            </a:ln>
            <a:effectLst/>
          </c:spPr>
          <c:marker>
            <c:symbol val="diamond"/>
            <c:size val="5"/>
            <c:spPr>
              <a:solidFill>
                <a:schemeClr val="tx1">
                  <a:lumMod val="50000"/>
                  <a:lumOff val="50000"/>
                </a:schemeClr>
              </a:solidFill>
              <a:ln w="9525">
                <a:no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Analysis'!$R$169:$V$169</c:f>
              <c:numCache>
                <c:formatCode>_(#,##0_);\(#,##0\);_("–"_);_(@_)</c:formatCode>
                <c:ptCount val="5"/>
                <c:pt idx="0">
                  <c:v>38153.806317969967</c:v>
                </c:pt>
                <c:pt idx="1">
                  <c:v>41456.778232602941</c:v>
                </c:pt>
                <c:pt idx="2">
                  <c:v>45305.940151853501</c:v>
                </c:pt>
                <c:pt idx="3">
                  <c:v>47631.96173664357</c:v>
                </c:pt>
                <c:pt idx="4">
                  <c:v>47747.928361400693</c:v>
                </c:pt>
              </c:numCache>
            </c:numRef>
          </c:val>
          <c:smooth val="0"/>
          <c:extLst>
            <c:ext xmlns:c16="http://schemas.microsoft.com/office/drawing/2014/chart" uri="{C3380CC4-5D6E-409C-BE32-E72D297353CC}">
              <c16:uniqueId val="{00000001-87C5-406E-814A-539C2B689138}"/>
            </c:ext>
          </c:extLst>
        </c:ser>
        <c:dLbls>
          <c:showLegendKey val="0"/>
          <c:showVal val="0"/>
          <c:showCatName val="0"/>
          <c:showSerName val="0"/>
          <c:showPercent val="0"/>
          <c:showBubbleSize val="0"/>
        </c:dLbls>
        <c:marker val="1"/>
        <c:smooth val="0"/>
        <c:axId val="1742131759"/>
        <c:axId val="1742133199"/>
      </c:lineChart>
      <c:catAx>
        <c:axId val="174213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742133199"/>
        <c:crosses val="autoZero"/>
        <c:auto val="1"/>
        <c:lblAlgn val="ctr"/>
        <c:lblOffset val="100"/>
        <c:noMultiLvlLbl val="0"/>
      </c:catAx>
      <c:valAx>
        <c:axId val="1742133199"/>
        <c:scaling>
          <c:orientation val="minMax"/>
          <c:min val="3700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sz="1000" b="1" i="0" u="none" strike="noStrike" baseline="0">
                    <a:latin typeface="Open Sans" panose="020B0606030504020204" pitchFamily="34" charset="0"/>
                    <a:ea typeface="Open Sans" panose="020B0606030504020204" pitchFamily="34" charset="0"/>
                    <a:cs typeface="Open Sans" panose="020B0606030504020204" pitchFamily="34" charset="0"/>
                  </a:rPr>
                  <a:t>Revenue per Vehicle (€)</a:t>
                </a:r>
                <a:endParaRPr lang="en-US" sz="1000" b="1">
                  <a:latin typeface="Open Sans" panose="020B0606030504020204" pitchFamily="34" charset="0"/>
                  <a:ea typeface="Open Sans" panose="020B0606030504020204" pitchFamily="34" charset="0"/>
                  <a:cs typeface="Open Sans" panose="020B0606030504020204" pitchFamily="34" charset="0"/>
                </a:endParaRPr>
              </a:p>
            </c:rich>
          </c:tx>
          <c:layout>
            <c:manualLayout>
              <c:xMode val="edge"/>
              <c:yMode val="edge"/>
              <c:x val="1.3391179134453854E-2"/>
              <c:y val="0.3812760839922550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742131759"/>
        <c:crosses val="autoZero"/>
        <c:crossBetween val="between"/>
        <c:majorUnit val="2500"/>
      </c:valAx>
      <c:spPr>
        <a:noFill/>
        <a:ln>
          <a:noFill/>
        </a:ln>
        <a:effectLst/>
      </c:spPr>
    </c:plotArea>
    <c:legend>
      <c:legendPos val="r"/>
      <c:layout>
        <c:manualLayout>
          <c:xMode val="edge"/>
          <c:yMode val="edge"/>
          <c:x val="0.70455848504740459"/>
          <c:y val="0.75915866303414481"/>
          <c:w val="0.27533116248651573"/>
          <c:h val="0.118382615222507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8: How Has Group Adjusted EBIT Mix Shifted Since 2021?</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manualLayout>
          <c:layoutTarget val="inner"/>
          <c:xMode val="edge"/>
          <c:yMode val="edge"/>
          <c:x val="5.9826718742711595E-2"/>
          <c:y val="0.10651973904847366"/>
          <c:w val="0.92315913174493192"/>
          <c:h val="0.77979305234446195"/>
        </c:manualLayout>
      </c:layout>
      <c:barChart>
        <c:barDir val="col"/>
        <c:grouping val="percentStacked"/>
        <c:varyColors val="0"/>
        <c:ser>
          <c:idx val="0"/>
          <c:order val="0"/>
          <c:tx>
            <c:strRef>
              <c:f>'Segment Analysis'!$C$31</c:f>
              <c:strCache>
                <c:ptCount val="1"/>
                <c:pt idx="0">
                  <c:v>Cars Contribution</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Analysis'!$I$31:$M$31</c:f>
              <c:numCache>
                <c:formatCode>_(#,##0.0%_);\(#,##0.0%\);_("–"_)_%;_(@_)_%</c:formatCode>
                <c:ptCount val="5"/>
                <c:pt idx="0">
                  <c:v>0.73953840773982982</c:v>
                </c:pt>
                <c:pt idx="1">
                  <c:v>0.78649237472766886</c:v>
                </c:pt>
                <c:pt idx="2">
                  <c:v>0.71245750849830036</c:v>
                </c:pt>
                <c:pt idx="3">
                  <c:v>0.63275723765769709</c:v>
                </c:pt>
                <c:pt idx="4">
                  <c:v>0.57959927140255008</c:v>
                </c:pt>
              </c:numCache>
            </c:numRef>
          </c:val>
          <c:extLst>
            <c:ext xmlns:c16="http://schemas.microsoft.com/office/drawing/2014/chart" uri="{C3380CC4-5D6E-409C-BE32-E72D297353CC}">
              <c16:uniqueId val="{00000000-75C6-4744-B919-B0B5B07D6CAD}"/>
            </c:ext>
          </c:extLst>
        </c:ser>
        <c:ser>
          <c:idx val="1"/>
          <c:order val="1"/>
          <c:tx>
            <c:strRef>
              <c:f>'Segment Analysis'!$C$32</c:f>
              <c:strCache>
                <c:ptCount val="1"/>
                <c:pt idx="0">
                  <c:v>Vans Contribution</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Analysis'!$I$32:$M$32</c:f>
              <c:numCache>
                <c:formatCode>_(#,##0.0%_);\(#,##0.0%\);_("–"_)_%;_(@_)_%</c:formatCode>
                <c:ptCount val="5"/>
                <c:pt idx="0">
                  <c:v>7.1628394917822594E-2</c:v>
                </c:pt>
                <c:pt idx="1">
                  <c:v>9.3294601791333823E-2</c:v>
                </c:pt>
                <c:pt idx="2">
                  <c:v>0.15311937612477505</c:v>
                </c:pt>
                <c:pt idx="3">
                  <c:v>0.20600889666739591</c:v>
                </c:pt>
                <c:pt idx="4">
                  <c:v>0.21311475409836064</c:v>
                </c:pt>
              </c:numCache>
            </c:numRef>
          </c:val>
          <c:extLst>
            <c:ext xmlns:c16="http://schemas.microsoft.com/office/drawing/2014/chart" uri="{C3380CC4-5D6E-409C-BE32-E72D297353CC}">
              <c16:uniqueId val="{00000001-75C6-4744-B919-B0B5B07D6CAD}"/>
            </c:ext>
          </c:extLst>
        </c:ser>
        <c:ser>
          <c:idx val="2"/>
          <c:order val="2"/>
          <c:tx>
            <c:strRef>
              <c:f>'Segment Analysis'!$C$33</c:f>
              <c:strCache>
                <c:ptCount val="1"/>
                <c:pt idx="0">
                  <c:v>Mobility Contribution</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Analysis'!$I$33:$M$33</c:f>
              <c:numCache>
                <c:formatCode>_(#,##0.0%_);\(#,##0.0%\);_("–"_)_%;_(@_)_%</c:formatCode>
                <c:ptCount val="5"/>
                <c:pt idx="0">
                  <c:v>0.20101410420794966</c:v>
                </c:pt>
                <c:pt idx="1">
                  <c:v>0.11755022996853062</c:v>
                </c:pt>
                <c:pt idx="2">
                  <c:v>8.4733053389322133E-2</c:v>
                </c:pt>
                <c:pt idx="3">
                  <c:v>8.2695252679938741E-2</c:v>
                </c:pt>
                <c:pt idx="4">
                  <c:v>0.15385549483910141</c:v>
                </c:pt>
              </c:numCache>
            </c:numRef>
          </c:val>
          <c:extLst>
            <c:ext xmlns:c16="http://schemas.microsoft.com/office/drawing/2014/chart" uri="{C3380CC4-5D6E-409C-BE32-E72D297353CC}">
              <c16:uniqueId val="{00000002-75C6-4744-B919-B0B5B07D6CAD}"/>
            </c:ext>
          </c:extLst>
        </c:ser>
        <c:ser>
          <c:idx val="3"/>
          <c:order val="3"/>
          <c:tx>
            <c:strRef>
              <c:f>'Segment Analysis'!$C$34</c:f>
              <c:strCache>
                <c:ptCount val="1"/>
                <c:pt idx="0">
                  <c:v>Reconciliation/Other</c:v>
                </c:pt>
              </c:strCache>
            </c:strRef>
          </c:tx>
          <c:spPr>
            <a:solidFill>
              <a:schemeClr val="tx1">
                <a:lumMod val="50000"/>
                <a:lumOff val="50000"/>
              </a:schemeClr>
            </a:solidFill>
            <a:ln>
              <a:noFill/>
            </a:ln>
            <a:effectLst/>
          </c:spPr>
          <c:invertIfNegative val="0"/>
          <c:dLbls>
            <c:dLbl>
              <c:idx val="1"/>
              <c:layout>
                <c:manualLayout>
                  <c:x val="0"/>
                  <c:y val="-1.9612722093326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7E-47B1-9755-A0C4CA4416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Analysis'!$I$6:$M$6</c:f>
              <c:numCache>
                <c:formatCode>General</c:formatCode>
                <c:ptCount val="5"/>
                <c:pt idx="0">
                  <c:v>2021</c:v>
                </c:pt>
                <c:pt idx="1">
                  <c:v>2022</c:v>
                </c:pt>
                <c:pt idx="2">
                  <c:v>2023</c:v>
                </c:pt>
                <c:pt idx="3">
                  <c:v>2024</c:v>
                </c:pt>
                <c:pt idx="4">
                  <c:v>2025</c:v>
                </c:pt>
              </c:numCache>
            </c:numRef>
          </c:cat>
          <c:val>
            <c:numRef>
              <c:f>'Segment Analysis'!$I$34:$M$34</c:f>
              <c:numCache>
                <c:formatCode>_(#,##0.0%_);\(#,##0.0%\);_("–"_)_%;_(@_)_%</c:formatCode>
                <c:ptCount val="5"/>
                <c:pt idx="0">
                  <c:v>-1.2180906865602026E-2</c:v>
                </c:pt>
                <c:pt idx="1">
                  <c:v>2.6627935124666768E-3</c:v>
                </c:pt>
                <c:pt idx="2">
                  <c:v>4.9690061987602507E-2</c:v>
                </c:pt>
                <c:pt idx="3">
                  <c:v>7.8538612994968227E-2</c:v>
                </c:pt>
                <c:pt idx="4">
                  <c:v>5.3430479659987817E-2</c:v>
                </c:pt>
              </c:numCache>
            </c:numRef>
          </c:val>
          <c:extLst>
            <c:ext xmlns:c16="http://schemas.microsoft.com/office/drawing/2014/chart" uri="{C3380CC4-5D6E-409C-BE32-E72D297353CC}">
              <c16:uniqueId val="{00000003-75C6-4744-B919-B0B5B07D6CAD}"/>
            </c:ext>
          </c:extLst>
        </c:ser>
        <c:dLbls>
          <c:dLblPos val="ctr"/>
          <c:showLegendKey val="0"/>
          <c:showVal val="1"/>
          <c:showCatName val="0"/>
          <c:showSerName val="0"/>
          <c:showPercent val="0"/>
          <c:showBubbleSize val="0"/>
        </c:dLbls>
        <c:gapWidth val="150"/>
        <c:overlap val="100"/>
        <c:axId val="1302469407"/>
        <c:axId val="1302470367"/>
      </c:barChart>
      <c:catAx>
        <c:axId val="13024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302470367"/>
        <c:crosses val="autoZero"/>
        <c:auto val="1"/>
        <c:lblAlgn val="ctr"/>
        <c:lblOffset val="100"/>
        <c:noMultiLvlLbl val="0"/>
      </c:catAx>
      <c:valAx>
        <c:axId val="1302470367"/>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30246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 How Did Group Revenue and Adjusted EBIT Reset After 2022?</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lineChart>
        <c:grouping val="standard"/>
        <c:varyColors val="0"/>
        <c:ser>
          <c:idx val="0"/>
          <c:order val="0"/>
          <c:tx>
            <c:strRef>
              <c:f>'Segment Analysis'!$Q$48</c:f>
              <c:strCache>
                <c:ptCount val="1"/>
                <c:pt idx="0">
                  <c:v>Group Revenue Index</c:v>
                </c:pt>
              </c:strCache>
            </c:strRef>
          </c:tx>
          <c:spPr>
            <a:ln w="28575" cap="rnd">
              <a:solidFill>
                <a:schemeClr val="tx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Analysis'!$R$47:$V$47</c:f>
              <c:numCache>
                <c:formatCode>General</c:formatCode>
                <c:ptCount val="5"/>
                <c:pt idx="0">
                  <c:v>2021</c:v>
                </c:pt>
                <c:pt idx="1">
                  <c:v>2022</c:v>
                </c:pt>
                <c:pt idx="2">
                  <c:v>2023</c:v>
                </c:pt>
                <c:pt idx="3">
                  <c:v>2024</c:v>
                </c:pt>
                <c:pt idx="4">
                  <c:v>2025</c:v>
                </c:pt>
              </c:numCache>
            </c:numRef>
          </c:cat>
          <c:val>
            <c:numRef>
              <c:f>'Segment Analysis'!$R$48:$V$48</c:f>
              <c:numCache>
                <c:formatCode>_(#,##0.0_);\(#,##0.0\);_("–"_);_(@_)</c:formatCode>
                <c:ptCount val="5"/>
                <c:pt idx="0">
                  <c:v>100</c:v>
                </c:pt>
                <c:pt idx="1">
                  <c:v>112.04245180853367</c:v>
                </c:pt>
                <c:pt idx="2">
                  <c:v>113.81476253426244</c:v>
                </c:pt>
                <c:pt idx="3">
                  <c:v>108.73906776306454</c:v>
                </c:pt>
                <c:pt idx="4">
                  <c:v>98.746013607880926</c:v>
                </c:pt>
              </c:numCache>
            </c:numRef>
          </c:val>
          <c:smooth val="0"/>
          <c:extLst>
            <c:ext xmlns:c16="http://schemas.microsoft.com/office/drawing/2014/chart" uri="{C3380CC4-5D6E-409C-BE32-E72D297353CC}">
              <c16:uniqueId val="{00000000-894D-41AC-9478-E3C58D63A19C}"/>
            </c:ext>
          </c:extLst>
        </c:ser>
        <c:ser>
          <c:idx val="1"/>
          <c:order val="1"/>
          <c:tx>
            <c:strRef>
              <c:f>'Segment Analysis'!$Q$49</c:f>
              <c:strCache>
                <c:ptCount val="1"/>
                <c:pt idx="0">
                  <c:v>Group Adjusted EBIT Index</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'Segment Analysis'!$R$47:$V$47</c:f>
              <c:numCache>
                <c:formatCode>General</c:formatCode>
                <c:ptCount val="5"/>
                <c:pt idx="0">
                  <c:v>2021</c:v>
                </c:pt>
                <c:pt idx="1">
                  <c:v>2022</c:v>
                </c:pt>
                <c:pt idx="2">
                  <c:v>2023</c:v>
                </c:pt>
                <c:pt idx="3">
                  <c:v>2024</c:v>
                </c:pt>
                <c:pt idx="4">
                  <c:v>2025</c:v>
                </c:pt>
              </c:numCache>
            </c:numRef>
          </c:cat>
          <c:val>
            <c:numRef>
              <c:f>'Segment Analysis'!$R$49:$V$49</c:f>
              <c:numCache>
                <c:formatCode>_(#,##0.0_);\(#,##0.0\);_("–"_);_(@_)</c:formatCode>
                <c:ptCount val="5"/>
                <c:pt idx="0">
                  <c:v>100</c:v>
                </c:pt>
                <c:pt idx="1">
                  <c:v>120.3811633057466</c:v>
                </c:pt>
                <c:pt idx="2">
                  <c:v>116.58701480359017</c:v>
                </c:pt>
                <c:pt idx="3">
                  <c:v>79.921902319617672</c:v>
                </c:pt>
                <c:pt idx="4">
                  <c:v>47.995104324513349</c:v>
                </c:pt>
              </c:numCache>
            </c:numRef>
          </c:val>
          <c:smooth val="0"/>
          <c:extLst>
            <c:ext xmlns:c16="http://schemas.microsoft.com/office/drawing/2014/chart" uri="{C3380CC4-5D6E-409C-BE32-E72D297353CC}">
              <c16:uniqueId val="{00000001-894D-41AC-9478-E3C58D63A19C}"/>
            </c:ext>
          </c:extLst>
        </c:ser>
        <c:dLbls>
          <c:showLegendKey val="0"/>
          <c:showVal val="0"/>
          <c:showCatName val="0"/>
          <c:showSerName val="0"/>
          <c:showPercent val="0"/>
          <c:showBubbleSize val="0"/>
        </c:dLbls>
        <c:smooth val="0"/>
        <c:axId val="891891472"/>
        <c:axId val="891890512"/>
      </c:lineChart>
      <c:catAx>
        <c:axId val="89189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891890512"/>
        <c:crossesAt val="0"/>
        <c:auto val="1"/>
        <c:lblAlgn val="ctr"/>
        <c:lblOffset val="100"/>
        <c:noMultiLvlLbl val="0"/>
      </c:catAx>
      <c:valAx>
        <c:axId val="891890512"/>
        <c:scaling>
          <c:orientation val="minMax"/>
          <c:min val="4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891891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9: How Has Mobility Profitability Normalized Since 2021?</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tx>
            <c:strRef>
              <c:f>'Mobility Analysis'!$C$12</c:f>
              <c:strCache>
                <c:ptCount val="1"/>
                <c:pt idx="0">
                  <c:v>Adjusted EBIT</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'Mobility Analysis'!$I$6:$M$6</c:f>
              <c:numCache>
                <c:formatCode>General</c:formatCode>
                <c:ptCount val="5"/>
                <c:pt idx="0">
                  <c:v>2021</c:v>
                </c:pt>
                <c:pt idx="1">
                  <c:v>2022</c:v>
                </c:pt>
                <c:pt idx="2">
                  <c:v>2023</c:v>
                </c:pt>
                <c:pt idx="3">
                  <c:v>2024</c:v>
                </c:pt>
                <c:pt idx="4">
                  <c:v>2025</c:v>
                </c:pt>
              </c:numCache>
            </c:numRef>
          </c:cat>
          <c:val>
            <c:numRef>
              <c:f>'Mobility Analysis'!$I$12:$M$12</c:f>
              <c:numCache>
                <c:formatCode>_(#,##0_);\(#,##0\);_("–"_);_(@_)</c:formatCode>
                <c:ptCount val="5"/>
                <c:pt idx="0">
                  <c:v>3449</c:v>
                </c:pt>
                <c:pt idx="1">
                  <c:v>2428</c:v>
                </c:pt>
                <c:pt idx="2">
                  <c:v>1695</c:v>
                </c:pt>
                <c:pt idx="3">
                  <c:v>1134</c:v>
                </c:pt>
                <c:pt idx="4">
                  <c:v>1267</c:v>
                </c:pt>
              </c:numCache>
            </c:numRef>
          </c:val>
          <c:extLst>
            <c:ext xmlns:c16="http://schemas.microsoft.com/office/drawing/2014/chart" uri="{C3380CC4-5D6E-409C-BE32-E72D297353CC}">
              <c16:uniqueId val="{00000000-3B43-4FD5-AB99-46F03D42E4D6}"/>
            </c:ext>
          </c:extLst>
        </c:ser>
        <c:dLbls>
          <c:showLegendKey val="0"/>
          <c:showVal val="0"/>
          <c:showCatName val="0"/>
          <c:showSerName val="0"/>
          <c:showPercent val="0"/>
          <c:showBubbleSize val="0"/>
        </c:dLbls>
        <c:gapWidth val="219"/>
        <c:overlap val="-27"/>
        <c:axId val="1292782079"/>
        <c:axId val="1292778239"/>
      </c:barChart>
      <c:lineChart>
        <c:grouping val="standard"/>
        <c:varyColors val="0"/>
        <c:ser>
          <c:idx val="1"/>
          <c:order val="1"/>
          <c:tx>
            <c:strRef>
              <c:f>'Mobility Analysis'!$C$13</c:f>
              <c:strCache>
                <c:ptCount val="1"/>
                <c:pt idx="0">
                  <c:v>Adjusted ROE</c:v>
                </c:pt>
              </c:strCache>
            </c:strRef>
          </c:tx>
          <c:spPr>
            <a:ln w="28575" cap="rnd">
              <a:solidFill>
                <a:schemeClr val="tx2"/>
              </a:solidFill>
              <a:round/>
            </a:ln>
            <a:effectLst/>
          </c:spPr>
          <c:marker>
            <c:symbol val="circle"/>
            <c:size val="5"/>
            <c:spPr>
              <a:solidFill>
                <a:schemeClr val="tx2">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'Mobility Analysis'!$I$6:$M$6</c:f>
              <c:numCache>
                <c:formatCode>General</c:formatCode>
                <c:ptCount val="5"/>
                <c:pt idx="0">
                  <c:v>2021</c:v>
                </c:pt>
                <c:pt idx="1">
                  <c:v>2022</c:v>
                </c:pt>
                <c:pt idx="2">
                  <c:v>2023</c:v>
                </c:pt>
                <c:pt idx="3">
                  <c:v>2024</c:v>
                </c:pt>
                <c:pt idx="4">
                  <c:v>2025</c:v>
                </c:pt>
              </c:numCache>
            </c:numRef>
          </c:cat>
          <c:val>
            <c:numRef>
              <c:f>'Mobility Analysis'!$I$13:$M$13</c:f>
              <c:numCache>
                <c:formatCode>_(#,##0.0%_);\(#,##0.0%\);_("–"_)_%;_(@_)_%</c:formatCode>
                <c:ptCount val="5"/>
                <c:pt idx="0">
                  <c:v>0.22</c:v>
                </c:pt>
                <c:pt idx="1">
                  <c:v>0.16800000000000001</c:v>
                </c:pt>
                <c:pt idx="2">
                  <c:v>0.123</c:v>
                </c:pt>
                <c:pt idx="3">
                  <c:v>8.6999999999999994E-2</c:v>
                </c:pt>
                <c:pt idx="4">
                  <c:v>9.7000000000000003E-2</c:v>
                </c:pt>
              </c:numCache>
            </c:numRef>
          </c:val>
          <c:smooth val="0"/>
          <c:extLst>
            <c:ext xmlns:c16="http://schemas.microsoft.com/office/drawing/2014/chart" uri="{C3380CC4-5D6E-409C-BE32-E72D297353CC}">
              <c16:uniqueId val="{00000001-3B43-4FD5-AB99-46F03D42E4D6}"/>
            </c:ext>
          </c:extLst>
        </c:ser>
        <c:dLbls>
          <c:showLegendKey val="0"/>
          <c:showVal val="0"/>
          <c:showCatName val="0"/>
          <c:showSerName val="0"/>
          <c:showPercent val="0"/>
          <c:showBubbleSize val="0"/>
        </c:dLbls>
        <c:marker val="1"/>
        <c:smooth val="0"/>
        <c:axId val="1292773919"/>
        <c:axId val="1292773439"/>
      </c:lineChart>
      <c:catAx>
        <c:axId val="12927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292778239"/>
        <c:crosses val="autoZero"/>
        <c:auto val="1"/>
        <c:lblAlgn val="ctr"/>
        <c:lblOffset val="100"/>
        <c:noMultiLvlLbl val="0"/>
      </c:catAx>
      <c:valAx>
        <c:axId val="1292778239"/>
        <c:scaling>
          <c:orientation val="minMax"/>
          <c:max val="350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Adjusted EBIT (</a:t>
                </a:r>
                <a:r>
                  <a:rPr lang="en-US" sz="800" b="0" i="0" u="none" strike="noStrike" baseline="0">
                    <a:latin typeface="Open Sans" panose="020B0606030504020204" pitchFamily="34" charset="0"/>
                    <a:ea typeface="Open Sans" panose="020B0606030504020204" pitchFamily="34" charset="0"/>
                    <a:cs typeface="Open Sans" panose="020B0606030504020204" pitchFamily="34" charset="0"/>
                  </a:rPr>
                  <a:t>€ </a:t>
                </a:r>
                <a:r>
                  <a:rPr lang="en-US" b="1">
                    <a:latin typeface="Open Sans" panose="020B0606030504020204" pitchFamily="34" charset="0"/>
                    <a:ea typeface="Open Sans" panose="020B0606030504020204" pitchFamily="34" charset="0"/>
                    <a:cs typeface="Open Sans" panose="020B0606030504020204" pitchFamily="34" charset="0"/>
                  </a:rPr>
                  <a:t>millions)</a:t>
                </a:r>
              </a:p>
            </c:rich>
          </c:tx>
          <c:layout>
            <c:manualLayout>
              <c:xMode val="edge"/>
              <c:yMode val="edge"/>
              <c:x val="9.3240777789606218E-3"/>
              <c:y val="0.3290156031425212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292782079"/>
        <c:crosses val="autoZero"/>
        <c:crossBetween val="between"/>
      </c:valAx>
      <c:valAx>
        <c:axId val="1292773439"/>
        <c:scaling>
          <c:orientation val="minMax"/>
          <c:min val="7.0000000000000007E-2"/>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Adjusted ROE (%)</a:t>
                </a:r>
              </a:p>
            </c:rich>
          </c:tx>
          <c:layout>
            <c:manualLayout>
              <c:xMode val="edge"/>
              <c:yMode val="edge"/>
              <c:x val="0.96484822677331838"/>
              <c:y val="0.3762481258342805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0%_);\(#,##0.0%\);_(&quot;–&quot;_)_%;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292773919"/>
        <c:crosses val="max"/>
        <c:crossBetween val="between"/>
        <c:majorUnit val="2.0000000000000004E-2"/>
        <c:minorUnit val="1.0000000000000002E-2"/>
      </c:valAx>
      <c:catAx>
        <c:axId val="1292773919"/>
        <c:scaling>
          <c:orientation val="minMax"/>
        </c:scaling>
        <c:delete val="1"/>
        <c:axPos val="b"/>
        <c:numFmt formatCode="General" sourceLinked="1"/>
        <c:majorTickMark val="out"/>
        <c:minorTickMark val="none"/>
        <c:tickLblPos val="nextTo"/>
        <c:crossAx val="12927734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14: How Expensive Has the Product and Technology Transition Become?</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tx>
            <c:strRef>
              <c:f>'Capital Intensity'!$C$20</c:f>
              <c:strCache>
                <c:ptCount val="1"/>
                <c:pt idx="0">
                  <c:v>Total Investment</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'Capital Intensity'!$I$20:$M$20</c:f>
              <c:numCache>
                <c:formatCode>_(#,##0_);\(#,##0\);_("–"_);_(@_)</c:formatCode>
                <c:ptCount val="5"/>
                <c:pt idx="0">
                  <c:v>7320</c:v>
                </c:pt>
                <c:pt idx="1">
                  <c:v>6899</c:v>
                </c:pt>
                <c:pt idx="2">
                  <c:v>8213</c:v>
                </c:pt>
                <c:pt idx="3">
                  <c:v>8665</c:v>
                </c:pt>
                <c:pt idx="4">
                  <c:v>9742</c:v>
                </c:pt>
              </c:numCache>
            </c:numRef>
          </c:val>
          <c:extLst>
            <c:ext xmlns:c16="http://schemas.microsoft.com/office/drawing/2014/chart" uri="{C3380CC4-5D6E-409C-BE32-E72D297353CC}">
              <c16:uniqueId val="{00000000-88FD-43D5-85F1-5118BC44D485}"/>
            </c:ext>
          </c:extLst>
        </c:ser>
        <c:ser>
          <c:idx val="2"/>
          <c:order val="2"/>
          <c:tx>
            <c:strRef>
              <c:f>'Capital Intensity'!$C$14</c:f>
              <c:strCache>
                <c:ptCount val="1"/>
                <c:pt idx="0">
                  <c:v>Total R&amp;D Expenditure </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'Capital Intensity'!$I$6:$M$6</c:f>
              <c:numCache>
                <c:formatCode>General</c:formatCode>
                <c:ptCount val="5"/>
                <c:pt idx="0">
                  <c:v>2021</c:v>
                </c:pt>
                <c:pt idx="1">
                  <c:v>2022</c:v>
                </c:pt>
                <c:pt idx="2">
                  <c:v>2023</c:v>
                </c:pt>
                <c:pt idx="3">
                  <c:v>2024</c:v>
                </c:pt>
                <c:pt idx="4">
                  <c:v>2025</c:v>
                </c:pt>
              </c:numCache>
            </c:numRef>
          </c:cat>
          <c:val>
            <c:numRef>
              <c:f>'Capital Intensity'!$I$14:$M$14</c:f>
              <c:numCache>
                <c:formatCode>_(#,##0_);\(#,##0\);_("–"_);_(@_)</c:formatCode>
                <c:ptCount val="5"/>
                <c:pt idx="0">
                  <c:v>9105</c:v>
                </c:pt>
                <c:pt idx="1">
                  <c:v>8541</c:v>
                </c:pt>
                <c:pt idx="2">
                  <c:v>9996</c:v>
                </c:pt>
                <c:pt idx="3">
                  <c:v>9717</c:v>
                </c:pt>
                <c:pt idx="4">
                  <c:v>9680</c:v>
                </c:pt>
              </c:numCache>
            </c:numRef>
          </c:val>
          <c:extLst>
            <c:ext xmlns:c16="http://schemas.microsoft.com/office/drawing/2014/chart" uri="{C3380CC4-5D6E-409C-BE32-E72D297353CC}">
              <c16:uniqueId val="{00000001-88FD-43D5-85F1-5118BC44D485}"/>
            </c:ext>
          </c:extLst>
        </c:ser>
        <c:dLbls>
          <c:showLegendKey val="0"/>
          <c:showVal val="0"/>
          <c:showCatName val="0"/>
          <c:showSerName val="0"/>
          <c:showPercent val="0"/>
          <c:showBubbleSize val="0"/>
        </c:dLbls>
        <c:gapWidth val="100"/>
        <c:axId val="621052752"/>
        <c:axId val="621053712"/>
      </c:barChart>
      <c:lineChart>
        <c:grouping val="standard"/>
        <c:varyColors val="0"/>
        <c:ser>
          <c:idx val="1"/>
          <c:order val="1"/>
          <c:tx>
            <c:strRef>
              <c:f>'Capital Intensity'!$C$21</c:f>
              <c:strCache>
                <c:ptCount val="1"/>
                <c:pt idx="0">
                  <c:v>Total Investment Intensity </c:v>
                </c:pt>
              </c:strCache>
            </c:strRef>
          </c:tx>
          <c:spPr>
            <a:ln w="28575" cap="rnd">
              <a:solidFill>
                <a:srgbClr val="C00000"/>
              </a:solidFill>
              <a:round/>
            </a:ln>
            <a:effectLst/>
          </c:spPr>
          <c:marker>
            <c:symbol val="circle"/>
            <c:size val="6"/>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'Capital Intensity'!$I$6:$M$6</c:f>
              <c:numCache>
                <c:formatCode>General</c:formatCode>
                <c:ptCount val="5"/>
                <c:pt idx="0">
                  <c:v>2021</c:v>
                </c:pt>
                <c:pt idx="1">
                  <c:v>2022</c:v>
                </c:pt>
                <c:pt idx="2">
                  <c:v>2023</c:v>
                </c:pt>
                <c:pt idx="3">
                  <c:v>2024</c:v>
                </c:pt>
                <c:pt idx="4">
                  <c:v>2025</c:v>
                </c:pt>
              </c:numCache>
            </c:numRef>
          </c:cat>
          <c:val>
            <c:numRef>
              <c:f>'Capital Intensity'!$I$21:$M$21</c:f>
              <c:numCache>
                <c:formatCode>_(#,##0.0%_);\(#,##0.0%\);_("–"_)_%;_(@_)_%</c:formatCode>
                <c:ptCount val="5"/>
                <c:pt idx="0">
                  <c:v>5.4670520490242208E-2</c:v>
                </c:pt>
                <c:pt idx="1">
                  <c:v>4.5988121346247426E-2</c:v>
                </c:pt>
                <c:pt idx="2">
                  <c:v>5.3894612507382374E-2</c:v>
                </c:pt>
                <c:pt idx="3">
                  <c:v>5.9514815170954846E-2</c:v>
                </c:pt>
                <c:pt idx="4">
                  <c:v>7.3683573600375155E-2</c:v>
                </c:pt>
              </c:numCache>
            </c:numRef>
          </c:val>
          <c:smooth val="0"/>
          <c:extLst>
            <c:ext xmlns:c16="http://schemas.microsoft.com/office/drawing/2014/chart" uri="{C3380CC4-5D6E-409C-BE32-E72D297353CC}">
              <c16:uniqueId val="{00000002-88FD-43D5-85F1-5118BC44D485}"/>
            </c:ext>
          </c:extLst>
        </c:ser>
        <c:dLbls>
          <c:showLegendKey val="0"/>
          <c:showVal val="0"/>
          <c:showCatName val="0"/>
          <c:showSerName val="0"/>
          <c:showPercent val="0"/>
          <c:showBubbleSize val="0"/>
        </c:dLbls>
        <c:marker val="1"/>
        <c:smooth val="0"/>
        <c:axId val="677895744"/>
        <c:axId val="677896224"/>
      </c:lineChart>
      <c:catAx>
        <c:axId val="6210527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21053712"/>
        <c:crosses val="autoZero"/>
        <c:auto val="1"/>
        <c:lblAlgn val="ctr"/>
        <c:lblOffset val="100"/>
        <c:noMultiLvlLbl val="0"/>
      </c:catAx>
      <c:valAx>
        <c:axId val="621053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Open Sans" panose="020B0606030504020204" pitchFamily="34" charset="0"/>
                    <a:ea typeface="Open Sans" panose="020B0606030504020204" pitchFamily="34" charset="0"/>
                    <a:cs typeface="Open Sans" panose="020B0606030504020204" pitchFamily="34" charset="0"/>
                  </a:rPr>
                  <a:t>€ millions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21052752"/>
        <c:crosses val="autoZero"/>
        <c:crossBetween val="between"/>
      </c:valAx>
      <c:valAx>
        <c:axId val="677896224"/>
        <c:scaling>
          <c:orientation val="minMax"/>
          <c:max val="0.1"/>
        </c:scaling>
        <c:delete val="0"/>
        <c:axPos val="r"/>
        <c:numFmt formatCode="_(#,##0.0%_);\(#,##0.0%\);_(&quot;–&quot;_)_%;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77895744"/>
        <c:crosses val="max"/>
        <c:crossBetween val="between"/>
      </c:valAx>
      <c:catAx>
        <c:axId val="677895744"/>
        <c:scaling>
          <c:orientation val="minMax"/>
        </c:scaling>
        <c:delete val="1"/>
        <c:axPos val="b"/>
        <c:numFmt formatCode="General" sourceLinked="1"/>
        <c:majorTickMark val="out"/>
        <c:minorTickMark val="none"/>
        <c:tickLblPos val="nextTo"/>
        <c:crossAx val="677896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10: Which ROIC Driver Deteriorated Most?</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1"/>
          <c:order val="1"/>
          <c:tx>
            <c:strRef>
              <c:f>'ROIC Analysis'!$C$15</c:f>
              <c:strCache>
                <c:ptCount val="1"/>
                <c:pt idx="0">
                  <c:v>Capital Turnover</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'ROIC Analysis'!$I$6:$M$6</c:f>
              <c:numCache>
                <c:formatCode>General</c:formatCode>
                <c:ptCount val="5"/>
                <c:pt idx="0">
                  <c:v>2021</c:v>
                </c:pt>
                <c:pt idx="1">
                  <c:v>2022</c:v>
                </c:pt>
                <c:pt idx="2">
                  <c:v>2023</c:v>
                </c:pt>
                <c:pt idx="3">
                  <c:v>2024</c:v>
                </c:pt>
                <c:pt idx="4">
                  <c:v>2025</c:v>
                </c:pt>
              </c:numCache>
            </c:numRef>
          </c:cat>
          <c:val>
            <c:numRef>
              <c:f>'ROIC Analysis'!$I$15:$M$15</c:f>
              <c:numCache>
                <c:formatCode>0.00\x;[Red]\(0.00\x\);\-</c:formatCode>
                <c:ptCount val="5"/>
                <c:pt idx="0">
                  <c:v>3.2908226539892516</c:v>
                </c:pt>
                <c:pt idx="1">
                  <c:v>3.2967702308440394</c:v>
                </c:pt>
                <c:pt idx="2">
                  <c:v>3.118706047819972</c:v>
                </c:pt>
                <c:pt idx="3">
                  <c:v>2.9189195397018626</c:v>
                </c:pt>
                <c:pt idx="4">
                  <c:v>2.779259875666944</c:v>
                </c:pt>
              </c:numCache>
            </c:numRef>
          </c:val>
          <c:extLst>
            <c:ext xmlns:c16="http://schemas.microsoft.com/office/drawing/2014/chart" uri="{C3380CC4-5D6E-409C-BE32-E72D297353CC}">
              <c16:uniqueId val="{00000001-9185-4FA5-809D-6F03A749FA21}"/>
            </c:ext>
          </c:extLst>
        </c:ser>
        <c:dLbls>
          <c:showLegendKey val="0"/>
          <c:showVal val="0"/>
          <c:showCatName val="0"/>
          <c:showSerName val="0"/>
          <c:showPercent val="0"/>
          <c:showBubbleSize val="0"/>
        </c:dLbls>
        <c:gapWidth val="219"/>
        <c:axId val="1349537663"/>
        <c:axId val="1349540543"/>
      </c:barChart>
      <c:lineChart>
        <c:grouping val="standard"/>
        <c:varyColors val="0"/>
        <c:ser>
          <c:idx val="0"/>
          <c:order val="0"/>
          <c:tx>
            <c:strRef>
              <c:f>'ROIC Analysis'!$C$13</c:f>
              <c:strCache>
                <c:ptCount val="1"/>
                <c:pt idx="0">
                  <c:v>NOPAT Margin</c:v>
                </c:pt>
              </c:strCache>
            </c:strRef>
          </c:tx>
          <c:spPr>
            <a:ln w="28575" cap="rnd">
              <a:solidFill>
                <a:schemeClr val="tx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'ROIC Analysis'!$L$6:$M$6</c:f>
              <c:numCache>
                <c:formatCode>General</c:formatCode>
                <c:ptCount val="2"/>
                <c:pt idx="0">
                  <c:v>2024</c:v>
                </c:pt>
                <c:pt idx="1">
                  <c:v>2025</c:v>
                </c:pt>
              </c:numCache>
            </c:numRef>
          </c:cat>
          <c:val>
            <c:numRef>
              <c:f>'ROIC Analysis'!$I$13:$M$13</c:f>
              <c:numCache>
                <c:formatCode>_(#,##0.0%_);\(#,##0.0%\);_("–"_)_%;_(@_)_%</c:formatCode>
                <c:ptCount val="5"/>
                <c:pt idx="0">
                  <c:v>8.7419131964072597E-2</c:v>
                </c:pt>
                <c:pt idx="1">
                  <c:v>9.8747069508919552E-2</c:v>
                </c:pt>
                <c:pt idx="2">
                  <c:v>9.1101440125071403E-2</c:v>
                </c:pt>
                <c:pt idx="3">
                  <c:v>6.3356441954344075E-2</c:v>
                </c:pt>
                <c:pt idx="4">
                  <c:v>4.0241292765620176E-2</c:v>
                </c:pt>
              </c:numCache>
            </c:numRef>
          </c:val>
          <c:smooth val="0"/>
          <c:extLst>
            <c:ext xmlns:c16="http://schemas.microsoft.com/office/drawing/2014/chart" uri="{C3380CC4-5D6E-409C-BE32-E72D297353CC}">
              <c16:uniqueId val="{00000000-9185-4FA5-809D-6F03A749FA21}"/>
            </c:ext>
          </c:extLst>
        </c:ser>
        <c:dLbls>
          <c:showLegendKey val="0"/>
          <c:showVal val="0"/>
          <c:showCatName val="0"/>
          <c:showSerName val="0"/>
          <c:showPercent val="0"/>
          <c:showBubbleSize val="0"/>
        </c:dLbls>
        <c:marker val="1"/>
        <c:smooth val="0"/>
        <c:axId val="1349550623"/>
        <c:axId val="1349554943"/>
      </c:lineChart>
      <c:catAx>
        <c:axId val="134953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349540543"/>
        <c:crosses val="autoZero"/>
        <c:auto val="1"/>
        <c:lblAlgn val="ctr"/>
        <c:lblOffset val="100"/>
        <c:noMultiLvlLbl val="0"/>
      </c:catAx>
      <c:valAx>
        <c:axId val="1349540543"/>
        <c:scaling>
          <c:orientation val="minMax"/>
          <c:max val="4"/>
          <c:min val="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Capital Turnover</a:t>
                </a:r>
              </a:p>
            </c:rich>
          </c:tx>
          <c:layout>
            <c:manualLayout>
              <c:xMode val="edge"/>
              <c:yMode val="edge"/>
              <c:x val="9.3309294965008404E-3"/>
              <c:y val="0.3864185314739874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0.00\x;[Red]\(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349537663"/>
        <c:crosses val="autoZero"/>
        <c:crossBetween val="between"/>
      </c:valAx>
      <c:valAx>
        <c:axId val="1349554943"/>
        <c:scaling>
          <c:orientation val="minMax"/>
          <c:max val="0.14000000000000001"/>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NOPAT Margin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0%_);\(#,##0.0%\);_(&quot;–&quot;_)_%;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349550623"/>
        <c:crosses val="max"/>
        <c:crossBetween val="between"/>
      </c:valAx>
      <c:catAx>
        <c:axId val="1349550623"/>
        <c:scaling>
          <c:orientation val="minMax"/>
        </c:scaling>
        <c:delete val="1"/>
        <c:axPos val="b"/>
        <c:numFmt formatCode="General" sourceLinked="1"/>
        <c:majorTickMark val="out"/>
        <c:minorTickMark val="none"/>
        <c:tickLblPos val="nextTo"/>
        <c:crossAx val="134955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7:</a:t>
            </a:r>
            <a:r>
              <a:rPr lang="en-US" b="1"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a:t>
            </a:r>
            <a:r>
              <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Where Was Mercedes-Benz's Volume Exposure Most Severe?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manualLayout>
          <c:layoutTarget val="inner"/>
          <c:xMode val="edge"/>
          <c:yMode val="edge"/>
          <c:x val="0.10952559055118111"/>
          <c:y val="5.0925925925925923E-2"/>
          <c:w val="0.85123403324584423"/>
          <c:h val="0.8416746864975212"/>
        </c:manualLayout>
      </c:layout>
      <c:barChart>
        <c:barDir val="col"/>
        <c:grouping val="clustered"/>
        <c:varyColors val="0"/>
        <c:ser>
          <c:idx val="2"/>
          <c:order val="0"/>
          <c:tx>
            <c:strRef>
              <c:f>'Operating Data'!$C$9</c:f>
              <c:strCache>
                <c:ptCount val="1"/>
                <c:pt idx="0">
                  <c:v>Europe</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Data'!$L$6:$M$6</c:f>
              <c:numCache>
                <c:formatCode>General</c:formatCode>
                <c:ptCount val="2"/>
                <c:pt idx="0">
                  <c:v>2024</c:v>
                </c:pt>
                <c:pt idx="1">
                  <c:v>2025</c:v>
                </c:pt>
              </c:numCache>
            </c:numRef>
          </c:cat>
          <c:val>
            <c:numRef>
              <c:f>'Operating Data'!$L$9:$M$9</c:f>
              <c:numCache>
                <c:formatCode>_(#,##0_);\(#,##0\);_("–"_);_(@_)</c:formatCode>
                <c:ptCount val="2"/>
                <c:pt idx="0">
                  <c:v>641792</c:v>
                </c:pt>
                <c:pt idx="1">
                  <c:v>635072</c:v>
                </c:pt>
              </c:numCache>
            </c:numRef>
          </c:val>
          <c:extLst>
            <c:ext xmlns:c16="http://schemas.microsoft.com/office/drawing/2014/chart" uri="{C3380CC4-5D6E-409C-BE32-E72D297353CC}">
              <c16:uniqueId val="{00000000-8D7D-43B7-96A9-FBD986CE5D46}"/>
            </c:ext>
          </c:extLst>
        </c:ser>
        <c:ser>
          <c:idx val="0"/>
          <c:order val="1"/>
          <c:tx>
            <c:strRef>
              <c:f>'Operating Data'!$C$10</c:f>
              <c:strCache>
                <c:ptCount val="1"/>
                <c:pt idx="0">
                  <c:v>North America</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Data'!$L$6:$M$6</c:f>
              <c:numCache>
                <c:formatCode>General</c:formatCode>
                <c:ptCount val="2"/>
                <c:pt idx="0">
                  <c:v>2024</c:v>
                </c:pt>
                <c:pt idx="1">
                  <c:v>2025</c:v>
                </c:pt>
              </c:numCache>
            </c:numRef>
          </c:cat>
          <c:val>
            <c:numRef>
              <c:f>'Operating Data'!$L$10:$M$10</c:f>
              <c:numCache>
                <c:formatCode>_(#,##0_);\(#,##0\);_("–"_);_(@_)</c:formatCode>
                <c:ptCount val="2"/>
                <c:pt idx="0">
                  <c:v>365358</c:v>
                </c:pt>
                <c:pt idx="1">
                  <c:v>320552</c:v>
                </c:pt>
              </c:numCache>
            </c:numRef>
          </c:val>
          <c:extLst>
            <c:ext xmlns:c16="http://schemas.microsoft.com/office/drawing/2014/chart" uri="{C3380CC4-5D6E-409C-BE32-E72D297353CC}">
              <c16:uniqueId val="{00000001-8D7D-43B7-96A9-FBD986CE5D46}"/>
            </c:ext>
          </c:extLst>
        </c:ser>
        <c:ser>
          <c:idx val="1"/>
          <c:order val="2"/>
          <c:tx>
            <c:strRef>
              <c:f>'Operating Data'!$C$12</c:f>
              <c:strCache>
                <c:ptCount val="1"/>
                <c:pt idx="0">
                  <c:v>China</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Data'!$L$6:$M$6</c:f>
              <c:numCache>
                <c:formatCode>General</c:formatCode>
                <c:ptCount val="2"/>
                <c:pt idx="0">
                  <c:v>2024</c:v>
                </c:pt>
                <c:pt idx="1">
                  <c:v>2025</c:v>
                </c:pt>
              </c:numCache>
            </c:numRef>
          </c:cat>
          <c:val>
            <c:numRef>
              <c:f>'Operating Data'!$L$12:$M$12</c:f>
              <c:numCache>
                <c:formatCode>_(#,##0_);\(#,##0\);_("–"_);_(@_)</c:formatCode>
                <c:ptCount val="2"/>
                <c:pt idx="0">
                  <c:v>683568</c:v>
                </c:pt>
                <c:pt idx="1">
                  <c:v>551932</c:v>
                </c:pt>
              </c:numCache>
            </c:numRef>
          </c:val>
          <c:extLst>
            <c:ext xmlns:c16="http://schemas.microsoft.com/office/drawing/2014/chart" uri="{C3380CC4-5D6E-409C-BE32-E72D297353CC}">
              <c16:uniqueId val="{00000002-8D7D-43B7-96A9-FBD986CE5D46}"/>
            </c:ext>
          </c:extLst>
        </c:ser>
        <c:dLbls>
          <c:dLblPos val="inEnd"/>
          <c:showLegendKey val="0"/>
          <c:showVal val="1"/>
          <c:showCatName val="0"/>
          <c:showSerName val="0"/>
          <c:showPercent val="0"/>
          <c:showBubbleSize val="0"/>
        </c:dLbls>
        <c:gapWidth val="219"/>
        <c:overlap val="-27"/>
        <c:axId val="2098657583"/>
        <c:axId val="2098655663"/>
      </c:barChart>
      <c:catAx>
        <c:axId val="209865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2098655663"/>
        <c:crossesAt val="0"/>
        <c:auto val="1"/>
        <c:lblAlgn val="ctr"/>
        <c:lblOffset val="100"/>
        <c:noMultiLvlLbl val="0"/>
      </c:catAx>
      <c:valAx>
        <c:axId val="209865566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Unit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2098657583"/>
        <c:crosses val="autoZero"/>
        <c:crossBetween val="between"/>
      </c:valAx>
      <c:spPr>
        <a:noFill/>
        <a:ln>
          <a:noFill/>
        </a:ln>
        <a:effectLst/>
      </c:spPr>
    </c:plotArea>
    <c:legend>
      <c:legendPos val="r"/>
      <c:layout>
        <c:manualLayout>
          <c:xMode val="edge"/>
          <c:yMode val="edge"/>
          <c:x val="0.87679139383054872"/>
          <c:y val="7.2562318886645244E-2"/>
          <c:w val="0.11595974126321403"/>
          <c:h val="0.172653220904840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11: How Much of Mercedes-Benz Cars' Volume Is Exposed to China?</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manualLayout>
          <c:layoutTarget val="inner"/>
          <c:xMode val="edge"/>
          <c:yMode val="edge"/>
          <c:x val="0.12426377744685857"/>
          <c:y val="0.12339391168785487"/>
          <c:w val="0.7934912093504759"/>
          <c:h val="0.78045045155725334"/>
        </c:manualLayout>
      </c:layout>
      <c:barChart>
        <c:barDir val="col"/>
        <c:grouping val="percentStacked"/>
        <c:varyColors val="0"/>
        <c:ser>
          <c:idx val="0"/>
          <c:order val="0"/>
          <c:tx>
            <c:strRef>
              <c:f>'Operating Data'!$Q$138</c:f>
              <c:strCache>
                <c:ptCount val="1"/>
                <c:pt idx="0">
                  <c:v>China Unit Sales*</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Data'!$R$137:$S$137</c:f>
              <c:numCache>
                <c:formatCode>General</c:formatCode>
                <c:ptCount val="2"/>
                <c:pt idx="0">
                  <c:v>2024</c:v>
                </c:pt>
                <c:pt idx="1">
                  <c:v>2025</c:v>
                </c:pt>
              </c:numCache>
            </c:numRef>
          </c:cat>
          <c:val>
            <c:numRef>
              <c:f>'Operating Data'!$R$139:$S$139</c:f>
              <c:numCache>
                <c:formatCode>_(#,##0.0%_);\(#,##0.0%\);_("–"_)_%;_(@_)_%</c:formatCode>
                <c:ptCount val="2"/>
                <c:pt idx="0">
                  <c:v>0.34464402847026043</c:v>
                </c:pt>
                <c:pt idx="1">
                  <c:v>0.30640912545502086</c:v>
                </c:pt>
              </c:numCache>
            </c:numRef>
          </c:val>
          <c:extLst>
            <c:ext xmlns:c16="http://schemas.microsoft.com/office/drawing/2014/chart" uri="{C3380CC4-5D6E-409C-BE32-E72D297353CC}">
              <c16:uniqueId val="{00000000-BDA9-4E14-A830-88237D471C06}"/>
            </c:ext>
          </c:extLst>
        </c:ser>
        <c:ser>
          <c:idx val="1"/>
          <c:order val="1"/>
          <c:tx>
            <c:strRef>
              <c:f>'Operating Data'!$Q$140</c:f>
              <c:strCache>
                <c:ptCount val="1"/>
                <c:pt idx="0">
                  <c:v>Rest of the world</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Data'!$R$137:$S$137</c:f>
              <c:numCache>
                <c:formatCode>General</c:formatCode>
                <c:ptCount val="2"/>
                <c:pt idx="0">
                  <c:v>2024</c:v>
                </c:pt>
                <c:pt idx="1">
                  <c:v>2025</c:v>
                </c:pt>
              </c:numCache>
            </c:numRef>
          </c:cat>
          <c:val>
            <c:numRef>
              <c:f>'Operating Data'!$R$141:$S$141</c:f>
              <c:numCache>
                <c:formatCode>_(#,##0.0%_);\(#,##0.0%\);_("–"_)_%;_(@_)_%</c:formatCode>
                <c:ptCount val="2"/>
                <c:pt idx="0">
                  <c:v>0.65535597152973957</c:v>
                </c:pt>
                <c:pt idx="1">
                  <c:v>0.69359087454497914</c:v>
                </c:pt>
              </c:numCache>
            </c:numRef>
          </c:val>
          <c:extLst>
            <c:ext xmlns:c16="http://schemas.microsoft.com/office/drawing/2014/chart" uri="{C3380CC4-5D6E-409C-BE32-E72D297353CC}">
              <c16:uniqueId val="{00000001-BDA9-4E14-A830-88237D471C06}"/>
            </c:ext>
          </c:extLst>
        </c:ser>
        <c:dLbls>
          <c:dLblPos val="ctr"/>
          <c:showLegendKey val="0"/>
          <c:showVal val="1"/>
          <c:showCatName val="0"/>
          <c:showSerName val="0"/>
          <c:showPercent val="0"/>
          <c:showBubbleSize val="0"/>
        </c:dLbls>
        <c:gapWidth val="245"/>
        <c:overlap val="100"/>
        <c:axId val="352312128"/>
        <c:axId val="352313088"/>
      </c:barChart>
      <c:catAx>
        <c:axId val="35231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13088"/>
        <c:crosses val="autoZero"/>
        <c:auto val="1"/>
        <c:lblAlgn val="ctr"/>
        <c:lblOffset val="100"/>
        <c:noMultiLvlLbl val="0"/>
      </c:catAx>
      <c:valAx>
        <c:axId val="352313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352312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13: Did Mercedes-Benz Reach Its Original Electrification Ambition?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tx>
            <c:strRef>
              <c:f>'Operating Data'!$C$42</c:f>
              <c:strCache>
                <c:ptCount val="1"/>
                <c:pt idx="0">
                  <c:v>Cars xEV Share (Electrified Vehicles)</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Data'!$I$6:$M$6</c:f>
              <c:numCache>
                <c:formatCode>General</c:formatCode>
                <c:ptCount val="5"/>
                <c:pt idx="0">
                  <c:v>2021</c:v>
                </c:pt>
                <c:pt idx="1">
                  <c:v>2022</c:v>
                </c:pt>
                <c:pt idx="2">
                  <c:v>2023</c:v>
                </c:pt>
                <c:pt idx="3">
                  <c:v>2024</c:v>
                </c:pt>
                <c:pt idx="4">
                  <c:v>2025</c:v>
                </c:pt>
              </c:numCache>
            </c:numRef>
          </c:cat>
          <c:val>
            <c:numRef>
              <c:f>'Operating Data'!$I$42:$M$42</c:f>
              <c:numCache>
                <c:formatCode>_(#,##0.0%_);\(#,##0.0%\);_("–"_)_%;_(@_)_%</c:formatCode>
                <c:ptCount val="5"/>
                <c:pt idx="0">
                  <c:v>0.11700000000000001</c:v>
                </c:pt>
                <c:pt idx="1">
                  <c:v>0.16</c:v>
                </c:pt>
                <c:pt idx="2">
                  <c:v>0.19700000000000001</c:v>
                </c:pt>
                <c:pt idx="3">
                  <c:v>0.185</c:v>
                </c:pt>
                <c:pt idx="4">
                  <c:v>0.20499999999999999</c:v>
                </c:pt>
              </c:numCache>
            </c:numRef>
          </c:val>
          <c:extLst>
            <c:ext xmlns:c16="http://schemas.microsoft.com/office/drawing/2014/chart" uri="{C3380CC4-5D6E-409C-BE32-E72D297353CC}">
              <c16:uniqueId val="{00000000-6387-4E95-9810-CDB7C630A3CA}"/>
            </c:ext>
          </c:extLst>
        </c:ser>
        <c:dLbls>
          <c:showLegendKey val="0"/>
          <c:showVal val="0"/>
          <c:showCatName val="0"/>
          <c:showSerName val="0"/>
          <c:showPercent val="0"/>
          <c:showBubbleSize val="0"/>
        </c:dLbls>
        <c:gapWidth val="219"/>
        <c:overlap val="-27"/>
        <c:axId val="1897205712"/>
        <c:axId val="1897206192"/>
      </c:barChart>
      <c:lineChart>
        <c:grouping val="standard"/>
        <c:varyColors val="0"/>
        <c:ser>
          <c:idx val="1"/>
          <c:order val="1"/>
          <c:tx>
            <c:strRef>
              <c:f>'Operating Data'!$C$43</c:f>
              <c:strCache>
                <c:ptCount val="1"/>
                <c:pt idx="0">
                  <c:v>Original 2021 Ambition</c:v>
                </c:pt>
              </c:strCache>
            </c:strRef>
          </c:tx>
          <c:spPr>
            <a:ln w="28575" cap="rnd">
              <a:solidFill>
                <a:srgbClr val="C00000"/>
              </a:solidFill>
              <a:prstDash val="sysDash"/>
              <a:round/>
            </a:ln>
            <a:effectLst/>
          </c:spPr>
          <c:marker>
            <c:symbol val="none"/>
          </c:marker>
          <c:val>
            <c:numRef>
              <c:f>'Operating Data'!$I$43:$M$43</c:f>
              <c:numCache>
                <c:formatCode>_(#,##0.0%_);\(#,##0.0%\);_("–"_)_%;_(@_)_%</c:formatCode>
                <c:ptCount val="5"/>
                <c:pt idx="0">
                  <c:v>0.5</c:v>
                </c:pt>
                <c:pt idx="1">
                  <c:v>0.5</c:v>
                </c:pt>
                <c:pt idx="2">
                  <c:v>0.5</c:v>
                </c:pt>
                <c:pt idx="3">
                  <c:v>0.5</c:v>
                </c:pt>
                <c:pt idx="4">
                  <c:v>0.5</c:v>
                </c:pt>
              </c:numCache>
            </c:numRef>
          </c:val>
          <c:smooth val="0"/>
          <c:extLst>
            <c:ext xmlns:c16="http://schemas.microsoft.com/office/drawing/2014/chart" uri="{C3380CC4-5D6E-409C-BE32-E72D297353CC}">
              <c16:uniqueId val="{00000001-6387-4E95-9810-CDB7C630A3CA}"/>
            </c:ext>
          </c:extLst>
        </c:ser>
        <c:dLbls>
          <c:showLegendKey val="0"/>
          <c:showVal val="0"/>
          <c:showCatName val="0"/>
          <c:showSerName val="0"/>
          <c:showPercent val="0"/>
          <c:showBubbleSize val="0"/>
        </c:dLbls>
        <c:marker val="1"/>
        <c:smooth val="0"/>
        <c:axId val="1897205712"/>
        <c:axId val="1897206192"/>
      </c:lineChart>
      <c:catAx>
        <c:axId val="189720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897206192"/>
        <c:crosses val="autoZero"/>
        <c:auto val="1"/>
        <c:lblAlgn val="ctr"/>
        <c:lblOffset val="100"/>
        <c:noMultiLvlLbl val="0"/>
      </c:catAx>
      <c:valAx>
        <c:axId val="1897206192"/>
        <c:scaling>
          <c:orientation val="minMax"/>
        </c:scaling>
        <c:delete val="0"/>
        <c:axPos val="l"/>
        <c:numFmt formatCode="_(#,##0.0%_);\(#,##0.0%\);_(&quot;–&quot;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897205712"/>
        <c:crosses val="autoZero"/>
        <c:crossBetween val="between"/>
        <c:majorUnit val="0.1"/>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15: </a:t>
            </a: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How Much of Industrial FCF Was Returned to Shareholders?</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tx>
            <c:strRef>
              <c:f>'Operating Data'!$B$47</c:f>
              <c:strCache>
                <c:ptCount val="1"/>
                <c:pt idx="0">
                  <c:v>Industrial FCF</c:v>
                </c:pt>
              </c:strCache>
            </c:strRef>
          </c:tx>
          <c:spPr>
            <a:solidFill>
              <a:schemeClr val="tx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Data'!$I$39:$M$39</c:f>
              <c:numCache>
                <c:formatCode>General</c:formatCode>
                <c:ptCount val="5"/>
                <c:pt idx="0">
                  <c:v>2021</c:v>
                </c:pt>
                <c:pt idx="1">
                  <c:v>2022</c:v>
                </c:pt>
                <c:pt idx="2">
                  <c:v>2023</c:v>
                </c:pt>
                <c:pt idx="3">
                  <c:v>2024</c:v>
                </c:pt>
                <c:pt idx="4">
                  <c:v>2025</c:v>
                </c:pt>
              </c:numCache>
            </c:numRef>
          </c:cat>
          <c:val>
            <c:numRef>
              <c:f>'Operating Data'!$I$47:$M$47</c:f>
              <c:numCache>
                <c:formatCode>_(#,##0_);\(#,##0\);_("–"_);_(@_)</c:formatCode>
                <c:ptCount val="5"/>
                <c:pt idx="0">
                  <c:v>7880</c:v>
                </c:pt>
                <c:pt idx="1">
                  <c:v>8128</c:v>
                </c:pt>
                <c:pt idx="2">
                  <c:v>11316</c:v>
                </c:pt>
                <c:pt idx="3">
                  <c:v>9152</c:v>
                </c:pt>
                <c:pt idx="4">
                  <c:v>5414</c:v>
                </c:pt>
              </c:numCache>
            </c:numRef>
          </c:val>
          <c:extLst>
            <c:ext xmlns:c16="http://schemas.microsoft.com/office/drawing/2014/chart" uri="{C3380CC4-5D6E-409C-BE32-E72D297353CC}">
              <c16:uniqueId val="{00000000-B1DA-433E-8939-FD0F67A90325}"/>
            </c:ext>
          </c:extLst>
        </c:ser>
        <c:ser>
          <c:idx val="1"/>
          <c:order val="1"/>
          <c:tx>
            <c:strRef>
              <c:f>'Operating Data'!$C$52</c:f>
              <c:strCache>
                <c:ptCount val="1"/>
                <c:pt idx="0">
                  <c:v>Returns to Mercedes-Benz Group AG Shareholders</c:v>
                </c:pt>
              </c:strCache>
            </c:strRef>
          </c:tx>
          <c:spPr>
            <a:solidFill>
              <a:schemeClr val="tx2">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Data'!$I$39:$M$39</c:f>
              <c:numCache>
                <c:formatCode>General</c:formatCode>
                <c:ptCount val="5"/>
                <c:pt idx="0">
                  <c:v>2021</c:v>
                </c:pt>
                <c:pt idx="1">
                  <c:v>2022</c:v>
                </c:pt>
                <c:pt idx="2">
                  <c:v>2023</c:v>
                </c:pt>
                <c:pt idx="3">
                  <c:v>2024</c:v>
                </c:pt>
                <c:pt idx="4">
                  <c:v>2025</c:v>
                </c:pt>
              </c:numCache>
            </c:numRef>
          </c:cat>
          <c:val>
            <c:numRef>
              <c:f>'Operating Data'!$I$52:$M$52</c:f>
              <c:numCache>
                <c:formatCode>_(#,##0_);\(#,##0\);_("–"_);_(@_)</c:formatCode>
                <c:ptCount val="5"/>
                <c:pt idx="0">
                  <c:v>1444</c:v>
                </c:pt>
                <c:pt idx="1">
                  <c:v>5397</c:v>
                </c:pt>
                <c:pt idx="2">
                  <c:v>7497</c:v>
                </c:pt>
                <c:pt idx="3">
                  <c:v>10407</c:v>
                </c:pt>
                <c:pt idx="4">
                  <c:v>4500</c:v>
                </c:pt>
              </c:numCache>
            </c:numRef>
          </c:val>
          <c:extLst>
            <c:ext xmlns:c16="http://schemas.microsoft.com/office/drawing/2014/chart" uri="{C3380CC4-5D6E-409C-BE32-E72D297353CC}">
              <c16:uniqueId val="{00000001-B1DA-433E-8939-FD0F67A90325}"/>
            </c:ext>
          </c:extLst>
        </c:ser>
        <c:dLbls>
          <c:dLblPos val="outEnd"/>
          <c:showLegendKey val="0"/>
          <c:showVal val="1"/>
          <c:showCatName val="0"/>
          <c:showSerName val="0"/>
          <c:showPercent val="0"/>
          <c:showBubbleSize val="0"/>
        </c:dLbls>
        <c:gapWidth val="100"/>
        <c:axId val="1912902848"/>
        <c:axId val="1912905248"/>
      </c:barChart>
      <c:lineChart>
        <c:grouping val="standard"/>
        <c:varyColors val="0"/>
        <c:ser>
          <c:idx val="2"/>
          <c:order val="2"/>
          <c:tx>
            <c:strRef>
              <c:f>'Operating Data'!$C$53</c:f>
              <c:strCache>
                <c:ptCount val="1"/>
                <c:pt idx="0">
                  <c:v>Payout Ratio (% of FCF)</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dLbls>
            <c:dLbl>
              <c:idx val="0"/>
              <c:layout>
                <c:manualLayout>
                  <c:x val="-5.8837812508354698E-3"/>
                  <c:y val="-1.620724859622170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76-4C39-8560-D2BB2B9B1A6C}"/>
                </c:ext>
              </c:extLst>
            </c:dLbl>
            <c:dLbl>
              <c:idx val="1"/>
              <c:layout>
                <c:manualLayout>
                  <c:x val="-1.3635718288992456E-2"/>
                  <c:y val="2.65657944381560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76-4C39-8560-D2BB2B9B1A6C}"/>
                </c:ext>
              </c:extLst>
            </c:dLbl>
            <c:dLbl>
              <c:idx val="3"/>
              <c:layout>
                <c:manualLayout>
                  <c:x val="-4.4418599228639652E-2"/>
                  <c:y val="-2.27606143329560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76-4C39-8560-D2BB2B9B1A6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'Operating Data'!$I$53:$M$53</c:f>
              <c:numCache>
                <c:formatCode>_(#,##0.0%_);\(#,##0.0%\);_("–"_)_%;_(@_)_%</c:formatCode>
                <c:ptCount val="5"/>
                <c:pt idx="0">
                  <c:v>0.183248730964467</c:v>
                </c:pt>
                <c:pt idx="1">
                  <c:v>0.66400098425196852</c:v>
                </c:pt>
                <c:pt idx="2">
                  <c:v>0.66251325556733831</c:v>
                </c:pt>
                <c:pt idx="3">
                  <c:v>1.1371284965034965</c:v>
                </c:pt>
                <c:pt idx="4">
                  <c:v>0.83117842630217953</c:v>
                </c:pt>
              </c:numCache>
            </c:numRef>
          </c:val>
          <c:smooth val="0"/>
          <c:extLst>
            <c:ext xmlns:c16="http://schemas.microsoft.com/office/drawing/2014/chart" uri="{C3380CC4-5D6E-409C-BE32-E72D297353CC}">
              <c16:uniqueId val="{00000002-B1DA-433E-8939-FD0F67A90325}"/>
            </c:ext>
          </c:extLst>
        </c:ser>
        <c:dLbls>
          <c:showLegendKey val="0"/>
          <c:showVal val="1"/>
          <c:showCatName val="0"/>
          <c:showSerName val="0"/>
          <c:showPercent val="0"/>
          <c:showBubbleSize val="0"/>
        </c:dLbls>
        <c:marker val="1"/>
        <c:smooth val="0"/>
        <c:axId val="1698336432"/>
        <c:axId val="1698335952"/>
      </c:lineChart>
      <c:catAx>
        <c:axId val="191290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912905248"/>
        <c:crosses val="autoZero"/>
        <c:auto val="1"/>
        <c:lblAlgn val="ctr"/>
        <c:lblOffset val="100"/>
        <c:noMultiLvlLbl val="0"/>
      </c:catAx>
      <c:valAx>
        <c:axId val="1912905248"/>
        <c:scaling>
          <c:orientation val="minMax"/>
          <c:max val="140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sz="1000" b="0" i="0" u="none" strike="noStrike" kern="1200"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rPr>
                  <a:t>€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912902848"/>
        <c:crosses val="autoZero"/>
        <c:crossBetween val="between"/>
      </c:valAx>
      <c:valAx>
        <c:axId val="1698335952"/>
        <c:scaling>
          <c:orientation val="minMax"/>
          <c:max val="1.4"/>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solidFill>
                      <a:srgbClr val="C00000"/>
                    </a:solidFill>
                    <a:latin typeface="Open Sans" panose="020B0606030504020204" pitchFamily="34" charset="0"/>
                    <a:ea typeface="Open Sans" panose="020B0606030504020204" pitchFamily="34" charset="0"/>
                    <a:cs typeface="Open Sans" panose="020B0606030504020204" pitchFamily="34" charset="0"/>
                  </a:rPr>
                  <a:t>Payout Ratio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0%_);\(#,##0.0%\);_(&quot;–&quot;_)_%;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698336432"/>
        <c:crosses val="max"/>
        <c:crossBetween val="between"/>
      </c:valAx>
      <c:catAx>
        <c:axId val="1698336432"/>
        <c:scaling>
          <c:orientation val="minMax"/>
        </c:scaling>
        <c:delete val="1"/>
        <c:axPos val="b"/>
        <c:majorTickMark val="out"/>
        <c:minorTickMark val="none"/>
        <c:tickLblPos val="nextTo"/>
        <c:crossAx val="16983359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16: </a:t>
            </a: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How Has Mercedes-Benz's Industrial Liquidity Evolved?</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tx>
            <c:strRef>
              <c:f>'Operating Data'!$B$57</c:f>
              <c:strCache>
                <c:ptCount val="1"/>
                <c:pt idx="0">
                  <c:v>Net Industrial Liquidity</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'Operating Data'!$I$39:$M$39</c:f>
              <c:numCache>
                <c:formatCode>General</c:formatCode>
                <c:ptCount val="5"/>
                <c:pt idx="0">
                  <c:v>2021</c:v>
                </c:pt>
                <c:pt idx="1">
                  <c:v>2022</c:v>
                </c:pt>
                <c:pt idx="2">
                  <c:v>2023</c:v>
                </c:pt>
                <c:pt idx="3">
                  <c:v>2024</c:v>
                </c:pt>
                <c:pt idx="4">
                  <c:v>2025</c:v>
                </c:pt>
              </c:numCache>
            </c:numRef>
          </c:cat>
          <c:val>
            <c:numRef>
              <c:f>'Operating Data'!$I$57:$M$57</c:f>
              <c:numCache>
                <c:formatCode>_(#,##0_);\(#,##0\);_("–"_);_(@_)</c:formatCode>
                <c:ptCount val="5"/>
                <c:pt idx="0">
                  <c:v>21005</c:v>
                </c:pt>
                <c:pt idx="1">
                  <c:v>26637</c:v>
                </c:pt>
                <c:pt idx="2">
                  <c:v>31069</c:v>
                </c:pt>
                <c:pt idx="3">
                  <c:v>31417</c:v>
                </c:pt>
                <c:pt idx="4">
                  <c:v>32162</c:v>
                </c:pt>
              </c:numCache>
            </c:numRef>
          </c:val>
          <c:extLst>
            <c:ext xmlns:c16="http://schemas.microsoft.com/office/drawing/2014/chart" uri="{C3380CC4-5D6E-409C-BE32-E72D297353CC}">
              <c16:uniqueId val="{00000000-130B-4683-9305-43ACD0627071}"/>
            </c:ext>
          </c:extLst>
        </c:ser>
        <c:dLbls>
          <c:showLegendKey val="0"/>
          <c:showVal val="0"/>
          <c:showCatName val="0"/>
          <c:showSerName val="0"/>
          <c:showPercent val="0"/>
          <c:showBubbleSize val="0"/>
        </c:dLbls>
        <c:gapWidth val="100"/>
        <c:overlap val="-27"/>
        <c:axId val="1898021056"/>
        <c:axId val="1898023456"/>
      </c:barChart>
      <c:catAx>
        <c:axId val="189802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898023456"/>
        <c:crosses val="autoZero"/>
        <c:auto val="1"/>
        <c:lblAlgn val="ctr"/>
        <c:lblOffset val="100"/>
        <c:noMultiLvlLbl val="0"/>
      </c:catAx>
      <c:valAx>
        <c:axId val="1898023456"/>
        <c:scaling>
          <c:orientation val="minMax"/>
          <c:max val="400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latin typeface="Open Sans" panose="020B0606030504020204" pitchFamily="34" charset="0"/>
                    <a:ea typeface="Open Sans" panose="020B0606030504020204" pitchFamily="34" charset="0"/>
                    <a:cs typeface="Open Sans" panose="020B0606030504020204" pitchFamily="34" charset="0"/>
                  </a:rPr>
                  <a:t>€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8980210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17: Which Automotive Segment Converted EBIT Into Cash More Efficiently?</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tx>
            <c:strRef>
              <c:f>'Operating Data'!$R$303</c:f>
              <c:strCache>
                <c:ptCount val="1"/>
                <c:pt idx="0">
                  <c:v>2024</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Data'!$Q$304:$Q$305</c:f>
              <c:strCache>
                <c:ptCount val="2"/>
                <c:pt idx="0">
                  <c:v>Mercedes-Benz Cars</c:v>
                </c:pt>
                <c:pt idx="1">
                  <c:v>Mercedes-Benz Vans</c:v>
                </c:pt>
              </c:strCache>
            </c:strRef>
          </c:cat>
          <c:val>
            <c:numRef>
              <c:f>'Operating Data'!$R$304:$R$305</c:f>
              <c:numCache>
                <c:formatCode>0.0\x;[Red]\(0.0\x\);\-</c:formatCode>
                <c:ptCount val="2"/>
                <c:pt idx="0">
                  <c:v>1</c:v>
                </c:pt>
                <c:pt idx="1">
                  <c:v>1</c:v>
                </c:pt>
              </c:numCache>
            </c:numRef>
          </c:val>
          <c:extLst>
            <c:ext xmlns:c16="http://schemas.microsoft.com/office/drawing/2014/chart" uri="{C3380CC4-5D6E-409C-BE32-E72D297353CC}">
              <c16:uniqueId val="{00000000-C69B-4FA9-98B3-B4E782FBA01C}"/>
            </c:ext>
          </c:extLst>
        </c:ser>
        <c:ser>
          <c:idx val="1"/>
          <c:order val="1"/>
          <c:tx>
            <c:strRef>
              <c:f>'Operating Data'!$S$303</c:f>
              <c:strCache>
                <c:ptCount val="1"/>
                <c:pt idx="0">
                  <c:v>2025</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Data'!$Q$304:$Q$305</c:f>
              <c:strCache>
                <c:ptCount val="2"/>
                <c:pt idx="0">
                  <c:v>Mercedes-Benz Cars</c:v>
                </c:pt>
                <c:pt idx="1">
                  <c:v>Mercedes-Benz Vans</c:v>
                </c:pt>
              </c:strCache>
            </c:strRef>
          </c:cat>
          <c:val>
            <c:numRef>
              <c:f>'Operating Data'!$S$304:$S$305</c:f>
              <c:numCache>
                <c:formatCode>0.0\x;[Red]\(0.0\x\);\-</c:formatCode>
                <c:ptCount val="2"/>
                <c:pt idx="0">
                  <c:v>1.2</c:v>
                </c:pt>
                <c:pt idx="1">
                  <c:v>0.6</c:v>
                </c:pt>
              </c:numCache>
            </c:numRef>
          </c:val>
          <c:extLst>
            <c:ext xmlns:c16="http://schemas.microsoft.com/office/drawing/2014/chart" uri="{C3380CC4-5D6E-409C-BE32-E72D297353CC}">
              <c16:uniqueId val="{00000001-C69B-4FA9-98B3-B4E782FBA01C}"/>
            </c:ext>
          </c:extLst>
        </c:ser>
        <c:dLbls>
          <c:dLblPos val="outEnd"/>
          <c:showLegendKey val="0"/>
          <c:showVal val="1"/>
          <c:showCatName val="0"/>
          <c:showSerName val="0"/>
          <c:showPercent val="0"/>
          <c:showBubbleSize val="0"/>
        </c:dLbls>
        <c:gapWidth val="140"/>
        <c:axId val="1931404560"/>
        <c:axId val="1931400720"/>
      </c:barChart>
      <c:catAx>
        <c:axId val="19314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931400720"/>
        <c:crosses val="autoZero"/>
        <c:auto val="1"/>
        <c:lblAlgn val="ctr"/>
        <c:lblOffset val="100"/>
        <c:noMultiLvlLbl val="0"/>
      </c:catAx>
      <c:valAx>
        <c:axId val="1931400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latin typeface="Open Sans" panose="020B0606030504020204" pitchFamily="34" charset="0"/>
                    <a:ea typeface="Open Sans" panose="020B0606030504020204" pitchFamily="34" charset="0"/>
                    <a:cs typeface="Open Sans" panose="020B0606030504020204" pitchFamily="34" charset="0"/>
                  </a:rPr>
                  <a:t>Adjusted Cash Conversion</a:t>
                </a:r>
                <a:r>
                  <a:rPr lang="en-US" baseline="0">
                    <a:latin typeface="Open Sans" panose="020B0606030504020204" pitchFamily="34" charset="0"/>
                    <a:ea typeface="Open Sans" panose="020B0606030504020204" pitchFamily="34" charset="0"/>
                    <a:cs typeface="Open Sans" panose="020B0606030504020204" pitchFamily="34" charset="0"/>
                  </a:rPr>
                  <a:t> Rate (x)</a:t>
                </a:r>
                <a:endParaRPr lang="en-US">
                  <a:latin typeface="Open Sans" panose="020B0606030504020204" pitchFamily="34" charset="0"/>
                  <a:ea typeface="Open Sans" panose="020B0606030504020204" pitchFamily="34" charset="0"/>
                  <a:cs typeface="Open Sans" panose="020B0606030504020204" pitchFamily="34" charset="0"/>
                </a:endParaRPr>
              </a:p>
            </c:rich>
          </c:tx>
          <c:layout>
            <c:manualLayout>
              <c:xMode val="edge"/>
              <c:yMode val="edge"/>
              <c:x val="5.9526034496274411E-3"/>
              <c:y val="0.313654454312532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0.0\x;[Red]\(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93140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18: Where Did Mercedes-Benz Release Working Capital in 2025?</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manualLayout>
          <c:layoutTarget val="inner"/>
          <c:xMode val="edge"/>
          <c:yMode val="edge"/>
          <c:x val="6.7717360955400277E-2"/>
          <c:y val="9.0398554062228451E-2"/>
          <c:w val="0.92097749271578777"/>
          <c:h val="0.82628730375133186"/>
        </c:manualLayout>
      </c:layout>
      <c:barChart>
        <c:barDir val="col"/>
        <c:grouping val="clustered"/>
        <c:varyColors val="0"/>
        <c:ser>
          <c:idx val="0"/>
          <c:order val="0"/>
          <c:tx>
            <c:strRef>
              <c:f>'Operating Data'!$L$39</c:f>
              <c:strCache>
                <c:ptCount val="1"/>
                <c:pt idx="0">
                  <c:v>2024</c:v>
                </c:pt>
              </c:strCache>
            </c:strRef>
          </c:tx>
          <c:spPr>
            <a:solidFill>
              <a:schemeClr val="tx1">
                <a:lumMod val="50000"/>
                <a:lumOff val="50000"/>
              </a:schemeClr>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Data'!$C$63:$C$66</c:f>
              <c:strCache>
                <c:ptCount val="4"/>
                <c:pt idx="0">
                  <c:v>Group Days Inventory Outstanding (DIO)</c:v>
                </c:pt>
                <c:pt idx="1">
                  <c:v>Group Days Sales Outstanding (DSO)</c:v>
                </c:pt>
                <c:pt idx="2">
                  <c:v>(Less) Group Days Payable Outstanding (DPO)</c:v>
                </c:pt>
                <c:pt idx="3">
                  <c:v>Group Cash Conversion Cycle (CCC)*</c:v>
                </c:pt>
              </c:strCache>
            </c:strRef>
          </c:cat>
          <c:val>
            <c:numRef>
              <c:f>'Operating Data'!$L$63:$L$66</c:f>
              <c:numCache>
                <c:formatCode>_(#,##0.0_);\(#,##0.0\);_("–"_);_(@_)</c:formatCode>
                <c:ptCount val="4"/>
                <c:pt idx="0">
                  <c:v>81.828522107709929</c:v>
                </c:pt>
                <c:pt idx="1">
                  <c:v>17.481111859005178</c:v>
                </c:pt>
                <c:pt idx="2">
                  <c:v>-35.284144319677317</c:v>
                </c:pt>
                <c:pt idx="3">
                  <c:v>64.025489647037801</c:v>
                </c:pt>
              </c:numCache>
            </c:numRef>
          </c:val>
          <c:extLst>
            <c:ext xmlns:c16="http://schemas.microsoft.com/office/drawing/2014/chart" uri="{C3380CC4-5D6E-409C-BE32-E72D297353CC}">
              <c16:uniqueId val="{00000000-BB1B-463E-B553-6922B0FC160C}"/>
            </c:ext>
          </c:extLst>
        </c:ser>
        <c:ser>
          <c:idx val="1"/>
          <c:order val="1"/>
          <c:tx>
            <c:strRef>
              <c:f>'Operating Data'!$M$39</c:f>
              <c:strCache>
                <c:ptCount val="1"/>
                <c:pt idx="0">
                  <c:v>2025</c:v>
                </c:pt>
              </c:strCache>
            </c:strRef>
          </c:tx>
          <c:spPr>
            <a:solidFill>
              <a:schemeClr val="tx2"/>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Data'!$C$63:$C$66</c:f>
              <c:strCache>
                <c:ptCount val="4"/>
                <c:pt idx="0">
                  <c:v>Group Days Inventory Outstanding (DIO)</c:v>
                </c:pt>
                <c:pt idx="1">
                  <c:v>Group Days Sales Outstanding (DSO)</c:v>
                </c:pt>
                <c:pt idx="2">
                  <c:v>(Less) Group Days Payable Outstanding (DPO)</c:v>
                </c:pt>
                <c:pt idx="3">
                  <c:v>Group Cash Conversion Cycle (CCC)*</c:v>
                </c:pt>
              </c:strCache>
            </c:strRef>
          </c:cat>
          <c:val>
            <c:numRef>
              <c:f>'Operating Data'!$M$63:$M$66</c:f>
              <c:numCache>
                <c:formatCode>_(#,##0.0_);\(#,##0.0\);_("–"_);_(@_)</c:formatCode>
                <c:ptCount val="4"/>
                <c:pt idx="0">
                  <c:v>79.500050054149483</c:v>
                </c:pt>
                <c:pt idx="1">
                  <c:v>16.152714538551137</c:v>
                </c:pt>
                <c:pt idx="2">
                  <c:v>-35.426734376279789</c:v>
                </c:pt>
                <c:pt idx="3">
                  <c:v>60.226030216420831</c:v>
                </c:pt>
              </c:numCache>
            </c:numRef>
          </c:val>
          <c:extLst>
            <c:ext xmlns:c16="http://schemas.microsoft.com/office/drawing/2014/chart" uri="{C3380CC4-5D6E-409C-BE32-E72D297353CC}">
              <c16:uniqueId val="{00000001-BB1B-463E-B553-6922B0FC160C}"/>
            </c:ext>
          </c:extLst>
        </c:ser>
        <c:dLbls>
          <c:dLblPos val="outEnd"/>
          <c:showLegendKey val="0"/>
          <c:showVal val="1"/>
          <c:showCatName val="0"/>
          <c:showSerName val="0"/>
          <c:showPercent val="0"/>
          <c:showBubbleSize val="0"/>
        </c:dLbls>
        <c:gapWidth val="100"/>
        <c:axId val="1859569680"/>
        <c:axId val="1859571120"/>
      </c:barChart>
      <c:catAx>
        <c:axId val="18595696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859571120"/>
        <c:crosses val="autoZero"/>
        <c:auto val="1"/>
        <c:lblAlgn val="ctr"/>
        <c:lblOffset val="100"/>
        <c:noMultiLvlLbl val="0"/>
      </c:catAx>
      <c:valAx>
        <c:axId val="1859571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latin typeface="Open Sans" panose="020B0606030504020204" pitchFamily="34" charset="0"/>
                    <a:ea typeface="Open Sans" panose="020B0606030504020204" pitchFamily="34" charset="0"/>
                    <a:cs typeface="Open Sans" panose="020B0606030504020204" pitchFamily="34" charset="0"/>
                  </a:rPr>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859569680"/>
        <c:crosses val="autoZero"/>
        <c:crossBetween val="between"/>
      </c:valAx>
      <c:spPr>
        <a:noFill/>
        <a:ln>
          <a:noFill/>
        </a:ln>
        <a:effectLst/>
      </c:spPr>
    </c:plotArea>
    <c:legend>
      <c:legendPos val="r"/>
      <c:layout>
        <c:manualLayout>
          <c:xMode val="edge"/>
          <c:yMode val="edge"/>
          <c:x val="8.8869283749165237E-2"/>
          <c:y val="0.78289817203573542"/>
          <c:w val="5.8302413489096441E-2"/>
          <c:h val="8.467719398366187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19: How Wide Was Mercedes-Benz's 2025 BEV Gap to BMW?</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4-7FC1-4C42-A949-20198F6C944B}"/>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5-7FC1-4C42-A949-20198F6C944B}"/>
              </c:ext>
            </c:extLst>
          </c:dPt>
          <c:dLbls>
            <c:dLbl>
              <c:idx val="0"/>
              <c:tx>
                <c:rich>
                  <a:bodyPr/>
                  <a:lstStyle/>
                  <a:p>
                    <a:r>
                      <a:rPr lang="en-US"/>
                      <a:t>168.8k</a:t>
                    </a:r>
                  </a:p>
                  <a:p>
                    <a:r>
                      <a:rPr lang="en-US"/>
                      <a:t>(-8.8% YoY)</a:t>
                    </a:r>
                    <a:r>
                      <a:rPr lang="en-US" baseline="0"/>
                      <a:t> </a:t>
                    </a:r>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C1-4C42-A949-20198F6C944B}"/>
                </c:ext>
              </c:extLst>
            </c:dLbl>
            <c:dLbl>
              <c:idx val="1"/>
              <c:tx>
                <c:rich>
                  <a:bodyPr/>
                  <a:lstStyle/>
                  <a:p>
                    <a:r>
                      <a:rPr lang="en-US"/>
                      <a:t>442.1k</a:t>
                    </a:r>
                  </a:p>
                  <a:p>
                    <a:r>
                      <a:rPr lang="en-US"/>
                      <a:t>(+3.6% YoY)</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FC1-4C42-A949-20198F6C944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('Peer Comparison'!$C$9,'Peer Comparison'!$C$11)</c:f>
              <c:strCache>
                <c:ptCount val="2"/>
                <c:pt idx="0">
                  <c:v>Mercedes-Benz Cars</c:v>
                </c:pt>
                <c:pt idx="1">
                  <c:v>BMW Group Automobiles</c:v>
                </c:pt>
              </c:strCache>
            </c:strRef>
          </c:cat>
          <c:val>
            <c:numRef>
              <c:f>('Peer Comparison'!$M$9,'Peer Comparison'!$M$11)</c:f>
              <c:numCache>
                <c:formatCode>_(#,##0_);\(#,##0\);_("–"_);_(@_)</c:formatCode>
                <c:ptCount val="2"/>
                <c:pt idx="0">
                  <c:v>168823</c:v>
                </c:pt>
                <c:pt idx="1">
                  <c:v>442059</c:v>
                </c:pt>
              </c:numCache>
            </c:numRef>
          </c:val>
          <c:extLst>
            <c:ext xmlns:c16="http://schemas.microsoft.com/office/drawing/2014/chart" uri="{C3380CC4-5D6E-409C-BE32-E72D297353CC}">
              <c16:uniqueId val="{00000000-7FC1-4C42-A949-20198F6C944B}"/>
            </c:ext>
          </c:extLst>
        </c:ser>
        <c:dLbls>
          <c:dLblPos val="outEnd"/>
          <c:showLegendKey val="0"/>
          <c:showVal val="1"/>
          <c:showCatName val="0"/>
          <c:showSerName val="0"/>
          <c:showPercent val="0"/>
          <c:showBubbleSize val="0"/>
        </c:dLbls>
        <c:gapWidth val="99"/>
        <c:axId val="1276156447"/>
        <c:axId val="1276155487"/>
      </c:barChart>
      <c:catAx>
        <c:axId val="127615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276155487"/>
        <c:crosses val="autoZero"/>
        <c:auto val="1"/>
        <c:lblAlgn val="ctr"/>
        <c:lblOffset val="100"/>
        <c:noMultiLvlLbl val="0"/>
      </c:catAx>
      <c:valAx>
        <c:axId val="127615548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BEV Unit Sales</a:t>
                </a:r>
              </a:p>
            </c:rich>
          </c:tx>
          <c:layout>
            <c:manualLayout>
              <c:xMode val="edge"/>
              <c:yMode val="edge"/>
              <c:x val="7.5404742376432108E-3"/>
              <c:y val="0.4323052166656042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_);\(#,##0\);_(&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276156447"/>
        <c:crosses val="autoZero"/>
        <c:crossBetween val="between"/>
        <c:majorUnit val="1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20: Who Retained More Automotive Margin in 2025?</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manualLayout>
          <c:layoutTarget val="inner"/>
          <c:xMode val="edge"/>
          <c:yMode val="edge"/>
          <c:x val="9.5701951203933502E-2"/>
          <c:y val="9.7984450392775688E-2"/>
          <c:w val="0.84855266418900599"/>
          <c:h val="0.84073031066763959"/>
        </c:manualLayout>
      </c:layout>
      <c:lineChart>
        <c:grouping val="standard"/>
        <c:varyColors val="0"/>
        <c:ser>
          <c:idx val="0"/>
          <c:order val="0"/>
          <c:tx>
            <c:strRef>
              <c:f>'Peer Comparison'!$B$18</c:f>
              <c:strCache>
                <c:ptCount val="1"/>
                <c:pt idx="0">
                  <c:v>Mercedes-Benz Cars</c:v>
                </c:pt>
              </c:strCache>
            </c:strRef>
          </c:tx>
          <c:spPr>
            <a:ln w="38100" cap="rnd">
              <a:solidFill>
                <a:schemeClr val="tx2"/>
              </a:solidFill>
              <a:round/>
            </a:ln>
            <a:effectLst/>
          </c:spPr>
          <c:marker>
            <c:symbol val="circle"/>
            <c:size val="7"/>
            <c:spPr>
              <a:solidFill>
                <a:schemeClr val="tx2">
                  <a:lumMod val="5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'Peer Comparison'!$L$6:$M$6</c:f>
              <c:numCache>
                <c:formatCode>General</c:formatCode>
                <c:ptCount val="2"/>
                <c:pt idx="0">
                  <c:v>2024</c:v>
                </c:pt>
                <c:pt idx="1">
                  <c:v>2025</c:v>
                </c:pt>
              </c:numCache>
            </c:numRef>
          </c:cat>
          <c:val>
            <c:numRef>
              <c:f>'Peer Comparison'!$L$15:$M$15</c:f>
              <c:numCache>
                <c:formatCode>_(#,##0.0%_);\(#,##0.0%\);_("–"_)_%;_(@_)_%</c:formatCode>
                <c:ptCount val="2"/>
                <c:pt idx="0">
                  <c:v>7.9000000000000001E-2</c:v>
                </c:pt>
                <c:pt idx="1">
                  <c:v>3.6999999999999998E-2</c:v>
                </c:pt>
              </c:numCache>
            </c:numRef>
          </c:val>
          <c:smooth val="0"/>
          <c:extLst>
            <c:ext xmlns:c16="http://schemas.microsoft.com/office/drawing/2014/chart" uri="{C3380CC4-5D6E-409C-BE32-E72D297353CC}">
              <c16:uniqueId val="{00000000-C844-47BF-BD75-C8A3F1164A93}"/>
            </c:ext>
          </c:extLst>
        </c:ser>
        <c:ser>
          <c:idx val="1"/>
          <c:order val="1"/>
          <c:tx>
            <c:strRef>
              <c:f>'Peer Comparison'!$B$22</c:f>
              <c:strCache>
                <c:ptCount val="1"/>
                <c:pt idx="0">
                  <c:v>BMW Group Automobiles</c:v>
                </c:pt>
              </c:strCache>
            </c:strRef>
          </c:tx>
          <c:spPr>
            <a:ln w="38100" cap="rnd">
              <a:solidFill>
                <a:schemeClr val="tx1">
                  <a:lumMod val="50000"/>
                  <a:lumOff val="50000"/>
                </a:schemeClr>
              </a:solidFill>
              <a:round/>
            </a:ln>
            <a:effectLst/>
          </c:spPr>
          <c:marker>
            <c:symbol val="circle"/>
            <c:size val="7"/>
            <c:spPr>
              <a:solidFill>
                <a:schemeClr val="tx1">
                  <a:lumMod val="85000"/>
                  <a:lumOff val="1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'Peer Comparison'!$L$6:$M$6</c:f>
              <c:numCache>
                <c:formatCode>General</c:formatCode>
                <c:ptCount val="2"/>
                <c:pt idx="0">
                  <c:v>2024</c:v>
                </c:pt>
                <c:pt idx="1">
                  <c:v>2025</c:v>
                </c:pt>
              </c:numCache>
            </c:numRef>
          </c:cat>
          <c:val>
            <c:numRef>
              <c:f>'Peer Comparison'!$L$16:$M$16</c:f>
              <c:numCache>
                <c:formatCode>_(#,##0.0%_);\(#,##0.0%\);_("–"_)_%;_(@_)_%</c:formatCode>
                <c:ptCount val="2"/>
                <c:pt idx="0">
                  <c:v>6.3E-2</c:v>
                </c:pt>
                <c:pt idx="1">
                  <c:v>5.2999999999999999E-2</c:v>
                </c:pt>
              </c:numCache>
            </c:numRef>
          </c:val>
          <c:smooth val="0"/>
          <c:extLst>
            <c:ext xmlns:c16="http://schemas.microsoft.com/office/drawing/2014/chart" uri="{C3380CC4-5D6E-409C-BE32-E72D297353CC}">
              <c16:uniqueId val="{00000001-C844-47BF-BD75-C8A3F1164A93}"/>
            </c:ext>
          </c:extLst>
        </c:ser>
        <c:dLbls>
          <c:dLblPos val="t"/>
          <c:showLegendKey val="0"/>
          <c:showVal val="1"/>
          <c:showCatName val="0"/>
          <c:showSerName val="0"/>
          <c:showPercent val="0"/>
          <c:showBubbleSize val="0"/>
        </c:dLbls>
        <c:marker val="1"/>
        <c:smooth val="0"/>
        <c:axId val="1155146239"/>
        <c:axId val="1155146719"/>
      </c:lineChart>
      <c:catAx>
        <c:axId val="115514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155146719"/>
        <c:crosses val="autoZero"/>
        <c:auto val="1"/>
        <c:lblAlgn val="ctr"/>
        <c:lblOffset val="100"/>
        <c:noMultiLvlLbl val="0"/>
      </c:catAx>
      <c:valAx>
        <c:axId val="1155146719"/>
        <c:scaling>
          <c:orientation val="minMax"/>
          <c:min val="2.0000000000000004E-2"/>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b="1">
                    <a:latin typeface="Open Sans" panose="020B0606030504020204" pitchFamily="34" charset="0"/>
                    <a:ea typeface="Open Sans" panose="020B0606030504020204" pitchFamily="34" charset="0"/>
                    <a:cs typeface="Open Sans" panose="020B0606030504020204" pitchFamily="34" charset="0"/>
                  </a:rPr>
                  <a:t>Reported EBIT Margin (%)</a:t>
                </a:r>
              </a:p>
            </c:rich>
          </c:tx>
          <c:layout>
            <c:manualLayout>
              <c:xMode val="edge"/>
              <c:yMode val="edge"/>
              <c:x val="1.0311078289131435E-2"/>
              <c:y val="0.3737404300225654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0%_);\(#,##0.0%\);_(&quot;–&quot;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155146239"/>
        <c:crosses val="autoZero"/>
        <c:crossBetween val="midCat"/>
      </c:valAx>
      <c:spPr>
        <a:noFill/>
        <a:ln>
          <a:noFill/>
        </a:ln>
        <a:effectLst/>
      </c:spPr>
    </c:plotArea>
    <c:legend>
      <c:legendPos val="r"/>
      <c:layout>
        <c:manualLayout>
          <c:xMode val="edge"/>
          <c:yMode val="edge"/>
          <c:x val="0.12211647195072101"/>
          <c:y val="0.80283113668800443"/>
          <c:w val="0.22824433599012314"/>
          <c:h val="0.1135733449858511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kern="1200" spc="0" baseline="0">
                <a:solidFill>
                  <a:schemeClr val="tx1">
                    <a:lumMod val="85000"/>
                    <a:lumOff val="15000"/>
                  </a:schemeClr>
                </a:solidFill>
                <a:latin typeface="Open Sans" panose="020B0606030504020204" pitchFamily="34" charset="0"/>
                <a:ea typeface="Open Sans" panose="020B0606030504020204" pitchFamily="34" charset="0"/>
                <a:cs typeface="Open Sans" panose="020B0606030504020204" pitchFamily="34" charset="0"/>
              </a:rPr>
              <a:t>Exhibit 21: How Far Have Automotive Margins Reset — and Where Could 2026 Land?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tx>
            <c:strRef>
              <c:f>'Outlook &amp; Valuation'!$J$7</c:f>
              <c:strCache>
                <c:ptCount val="1"/>
                <c:pt idx="0">
                  <c:v>Cars</c:v>
                </c:pt>
              </c:strCache>
            </c:strRef>
          </c:tx>
          <c:spPr>
            <a:solidFill>
              <a:schemeClr val="accent1"/>
            </a:solidFill>
            <a:ln>
              <a:noFill/>
            </a:ln>
            <a:effectLst/>
          </c:spPr>
          <c:invertIfNegative val="0"/>
          <c:dPt>
            <c:idx val="2"/>
            <c:invertIfNegative val="0"/>
            <c:bubble3D val="0"/>
            <c:spPr>
              <a:pattFill prst="wdUpDiag">
                <a:fgClr>
                  <a:schemeClr val="tx2"/>
                </a:fgClr>
                <a:bgClr>
                  <a:schemeClr val="accent1"/>
                </a:bgClr>
              </a:pattFill>
              <a:ln>
                <a:noFill/>
              </a:ln>
              <a:effectLst/>
            </c:spPr>
            <c:extLst>
              <c:ext xmlns:c16="http://schemas.microsoft.com/office/drawing/2014/chart" uri="{C3380CC4-5D6E-409C-BE32-E72D297353CC}">
                <c16:uniqueId val="{00000006-4E14-4899-A840-4CD79A9B4427}"/>
              </c:ext>
            </c:extLst>
          </c:dPt>
          <c:dLbls>
            <c:dLbl>
              <c:idx val="2"/>
              <c:tx>
                <c:rich>
                  <a:bodyPr/>
                  <a:lstStyle/>
                  <a:p>
                    <a:r>
                      <a:rPr lang="en-US"/>
                      <a:t>3.0% - </a:t>
                    </a:r>
                    <a:fld id="{32A07B01-EE8F-4E04-B16D-BE9AD492CB18}"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E14-4899-A840-4CD79A9B442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'Outlook &amp; Valuation'!$B$8:$B$10</c:f>
              <c:strCache>
                <c:ptCount val="3"/>
                <c:pt idx="0">
                  <c:v>Peak Margin (2022-2023)</c:v>
                </c:pt>
                <c:pt idx="1">
                  <c:v>2025 Actual</c:v>
                </c:pt>
                <c:pt idx="2">
                  <c:v>2026 Guidance</c:v>
                </c:pt>
              </c:strCache>
            </c:strRef>
          </c:cat>
          <c:val>
            <c:numRef>
              <c:f>'Outlook &amp; Valuation'!$J$8:$J$10</c:f>
              <c:numCache>
                <c:formatCode>_(#,##0.0%_);\(#,##0.0%\);_("–"_)_%;_(@_)_%</c:formatCode>
                <c:ptCount val="3"/>
                <c:pt idx="0">
                  <c:v>0.14599999999999999</c:v>
                </c:pt>
                <c:pt idx="1">
                  <c:v>0.05</c:v>
                </c:pt>
                <c:pt idx="2">
                  <c:v>0.05</c:v>
                </c:pt>
              </c:numCache>
            </c:numRef>
          </c:val>
          <c:extLst>
            <c:ext xmlns:c16="http://schemas.microsoft.com/office/drawing/2014/chart" uri="{C3380CC4-5D6E-409C-BE32-E72D297353CC}">
              <c16:uniqueId val="{00000000-4E14-4899-A840-4CD79A9B4427}"/>
            </c:ext>
          </c:extLst>
        </c:ser>
        <c:ser>
          <c:idx val="1"/>
          <c:order val="1"/>
          <c:tx>
            <c:strRef>
              <c:f>'Outlook &amp; Valuation'!$K$7</c:f>
              <c:strCache>
                <c:ptCount val="1"/>
                <c:pt idx="0">
                  <c:v>Vans</c:v>
                </c:pt>
              </c:strCache>
            </c:strRef>
          </c:tx>
          <c:spPr>
            <a:solidFill>
              <a:schemeClr val="accent2"/>
            </a:solidFill>
            <a:ln>
              <a:noFill/>
            </a:ln>
            <a:effectLst/>
          </c:spPr>
          <c:invertIfNegative val="0"/>
          <c:dPt>
            <c:idx val="2"/>
            <c:invertIfNegative val="0"/>
            <c:bubble3D val="0"/>
            <c:spPr>
              <a:pattFill prst="wdUpDiag">
                <a:fgClr>
                  <a:schemeClr val="tx1">
                    <a:lumMod val="50000"/>
                    <a:lumOff val="50000"/>
                  </a:schemeClr>
                </a:fgClr>
                <a:bgClr>
                  <a:schemeClr val="bg1">
                    <a:lumMod val="75000"/>
                  </a:schemeClr>
                </a:bgClr>
              </a:pattFill>
              <a:ln>
                <a:noFill/>
              </a:ln>
              <a:effectLst/>
            </c:spPr>
            <c:extLst>
              <c:ext xmlns:c16="http://schemas.microsoft.com/office/drawing/2014/chart" uri="{C3380CC4-5D6E-409C-BE32-E72D297353CC}">
                <c16:uniqueId val="{00000007-4E14-4899-A840-4CD79A9B4427}"/>
              </c:ext>
            </c:extLst>
          </c:dPt>
          <c:dLbls>
            <c:dLbl>
              <c:idx val="2"/>
              <c:tx>
                <c:rich>
                  <a:bodyPr/>
                  <a:lstStyle/>
                  <a:p>
                    <a:r>
                      <a:rPr lang="en-US"/>
                      <a:t>8.0%</a:t>
                    </a:r>
                    <a:r>
                      <a:rPr lang="en-US" baseline="0"/>
                      <a:t> - </a:t>
                    </a:r>
                    <a:fld id="{E15073F4-4F60-4600-BF87-D4DDE9EFBF4D}" type="VALUE">
                      <a:rPr lang="en-US"/>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E14-4899-A840-4CD79A9B442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'Outlook &amp; Valuation'!$B$8:$B$10</c:f>
              <c:strCache>
                <c:ptCount val="3"/>
                <c:pt idx="0">
                  <c:v>Peak Margin (2022-2023)</c:v>
                </c:pt>
                <c:pt idx="1">
                  <c:v>2025 Actual</c:v>
                </c:pt>
                <c:pt idx="2">
                  <c:v>2026 Guidance</c:v>
                </c:pt>
              </c:strCache>
            </c:strRef>
          </c:cat>
          <c:val>
            <c:numRef>
              <c:f>'Outlook &amp; Valuation'!$K$8:$K$10</c:f>
              <c:numCache>
                <c:formatCode>_(#,##0.0%_);\(#,##0.0%\);_("–"_)_%;_(@_)_%</c:formatCode>
                <c:ptCount val="3"/>
                <c:pt idx="0">
                  <c:v>0.151</c:v>
                </c:pt>
                <c:pt idx="1">
                  <c:v>0.10199999999999999</c:v>
                </c:pt>
                <c:pt idx="2">
                  <c:v>0.1</c:v>
                </c:pt>
              </c:numCache>
            </c:numRef>
          </c:val>
          <c:extLst>
            <c:ext xmlns:c16="http://schemas.microsoft.com/office/drawing/2014/chart" uri="{C3380CC4-5D6E-409C-BE32-E72D297353CC}">
              <c16:uniqueId val="{00000001-4E14-4899-A840-4CD79A9B4427}"/>
            </c:ext>
          </c:extLst>
        </c:ser>
        <c:dLbls>
          <c:showLegendKey val="0"/>
          <c:showVal val="0"/>
          <c:showCatName val="0"/>
          <c:showSerName val="0"/>
          <c:showPercent val="0"/>
          <c:showBubbleSize val="0"/>
        </c:dLbls>
        <c:gapWidth val="100"/>
        <c:axId val="356754224"/>
        <c:axId val="356750384"/>
      </c:barChart>
      <c:barChart>
        <c:barDir val="col"/>
        <c:grouping val="clustered"/>
        <c:varyColors val="0"/>
        <c:ser>
          <c:idx val="2"/>
          <c:order val="2"/>
          <c:tx>
            <c:strRef>
              <c:f>'Outlook &amp; Valuation'!$L$7</c:f>
              <c:strCache>
                <c:ptCount val="1"/>
                <c:pt idx="0">
                  <c:v>Cars</c:v>
                </c:pt>
              </c:strCache>
            </c:strRef>
          </c:tx>
          <c:spPr>
            <a:solidFill>
              <a:schemeClr val="tx2"/>
            </a:solidFill>
            <a:ln>
              <a:noFill/>
            </a:ln>
            <a:effectLst/>
          </c:spPr>
          <c:invertIfNegative val="0"/>
          <c:cat>
            <c:strRef>
              <c:f>'Outlook &amp; Valuation'!$B$8:$B$10</c:f>
              <c:strCache>
                <c:ptCount val="3"/>
                <c:pt idx="0">
                  <c:v>Peak Margin (2022-2023)</c:v>
                </c:pt>
                <c:pt idx="1">
                  <c:v>2025 Actual</c:v>
                </c:pt>
                <c:pt idx="2">
                  <c:v>2026 Guidance</c:v>
                </c:pt>
              </c:strCache>
            </c:strRef>
          </c:cat>
          <c:val>
            <c:numRef>
              <c:f>'Outlook &amp; Valuation'!$L$8:$L$10</c:f>
              <c:numCache>
                <c:formatCode>_(#,##0.0%_);\(#,##0.0%\);_("–"_)_%;_(@_)_%</c:formatCode>
                <c:ptCount val="3"/>
                <c:pt idx="0">
                  <c:v>0.14599999999999999</c:v>
                </c:pt>
                <c:pt idx="1">
                  <c:v>0.05</c:v>
                </c:pt>
                <c:pt idx="2">
                  <c:v>0.03</c:v>
                </c:pt>
              </c:numCache>
            </c:numRef>
          </c:val>
          <c:extLst>
            <c:ext xmlns:c16="http://schemas.microsoft.com/office/drawing/2014/chart" uri="{C3380CC4-5D6E-409C-BE32-E72D297353CC}">
              <c16:uniqueId val="{00000002-4E14-4899-A840-4CD79A9B4427}"/>
            </c:ext>
          </c:extLst>
        </c:ser>
        <c:ser>
          <c:idx val="3"/>
          <c:order val="3"/>
          <c:tx>
            <c:strRef>
              <c:f>'Outlook &amp; Valuation'!$M$7</c:f>
              <c:strCache>
                <c:ptCount val="1"/>
                <c:pt idx="0">
                  <c:v>Vans</c:v>
                </c:pt>
              </c:strCache>
            </c:strRef>
          </c:tx>
          <c:spPr>
            <a:solidFill>
              <a:schemeClr val="tx1">
                <a:lumMod val="50000"/>
                <a:lumOff val="50000"/>
              </a:schemeClr>
            </a:solidFill>
            <a:ln>
              <a:noFill/>
            </a:ln>
            <a:effectLst/>
          </c:spPr>
          <c:invertIfNegative val="0"/>
          <c:cat>
            <c:strRef>
              <c:f>'Outlook &amp; Valuation'!$B$8:$B$10</c:f>
              <c:strCache>
                <c:ptCount val="3"/>
                <c:pt idx="0">
                  <c:v>Peak Margin (2022-2023)</c:v>
                </c:pt>
                <c:pt idx="1">
                  <c:v>2025 Actual</c:v>
                </c:pt>
                <c:pt idx="2">
                  <c:v>2026 Guidance</c:v>
                </c:pt>
              </c:strCache>
            </c:strRef>
          </c:cat>
          <c:val>
            <c:numRef>
              <c:f>'Outlook &amp; Valuation'!$M$8:$M$10</c:f>
              <c:numCache>
                <c:formatCode>_(#,##0.0%_);\(#,##0.0%\);_("–"_)_%;_(@_)_%</c:formatCode>
                <c:ptCount val="3"/>
                <c:pt idx="0">
                  <c:v>0.151</c:v>
                </c:pt>
                <c:pt idx="1">
                  <c:v>0.10199999999999999</c:v>
                </c:pt>
                <c:pt idx="2">
                  <c:v>0.08</c:v>
                </c:pt>
              </c:numCache>
            </c:numRef>
          </c:val>
          <c:extLst>
            <c:ext xmlns:c16="http://schemas.microsoft.com/office/drawing/2014/chart" uri="{C3380CC4-5D6E-409C-BE32-E72D297353CC}">
              <c16:uniqueId val="{00000013-4E14-4899-A840-4CD79A9B4427}"/>
            </c:ext>
          </c:extLst>
        </c:ser>
        <c:dLbls>
          <c:showLegendKey val="0"/>
          <c:showVal val="0"/>
          <c:showCatName val="0"/>
          <c:showSerName val="0"/>
          <c:showPercent val="0"/>
          <c:showBubbleSize val="0"/>
        </c:dLbls>
        <c:gapWidth val="100"/>
        <c:axId val="428581248"/>
        <c:axId val="428580768"/>
      </c:barChart>
      <c:catAx>
        <c:axId val="35675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356750384"/>
        <c:crosses val="autoZero"/>
        <c:auto val="1"/>
        <c:lblAlgn val="ctr"/>
        <c:lblOffset val="100"/>
        <c:noMultiLvlLbl val="0"/>
      </c:catAx>
      <c:valAx>
        <c:axId val="356750384"/>
        <c:scaling>
          <c:orientation val="minMax"/>
          <c:max val="0.180000000000000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latin typeface="Open Sans" panose="020B0606030504020204" pitchFamily="34" charset="0"/>
                    <a:ea typeface="Open Sans" panose="020B0606030504020204" pitchFamily="34" charset="0"/>
                    <a:cs typeface="Open Sans" panose="020B0606030504020204" pitchFamily="34" charset="0"/>
                  </a:rPr>
                  <a:t>Adjusted RoS (%)</a:t>
                </a:r>
              </a:p>
            </c:rich>
          </c:tx>
          <c:layout>
            <c:manualLayout>
              <c:xMode val="edge"/>
              <c:yMode val="edge"/>
              <c:x val="1.0846222525444701E-2"/>
              <c:y val="0.426174639101945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numFmt formatCode="_(#,##0.0%_);\(#,##0.0%\);_(&quot;–&quot;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356754224"/>
        <c:crosses val="autoZero"/>
        <c:crossBetween val="between"/>
      </c:valAx>
      <c:valAx>
        <c:axId val="428580768"/>
        <c:scaling>
          <c:orientation val="minMax"/>
          <c:max val="0.18000000000000002"/>
        </c:scaling>
        <c:delete val="0"/>
        <c:axPos val="r"/>
        <c:numFmt formatCode="_(#,##0.0%_);\(#,##0.0%\);_(&quot;–&quot;_)_%;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581248"/>
        <c:crosses val="max"/>
        <c:crossBetween val="between"/>
      </c:valAx>
      <c:catAx>
        <c:axId val="428581248"/>
        <c:scaling>
          <c:orientation val="minMax"/>
        </c:scaling>
        <c:delete val="1"/>
        <c:axPos val="b"/>
        <c:numFmt formatCode="General" sourceLinked="1"/>
        <c:majorTickMark val="out"/>
        <c:minorTickMark val="none"/>
        <c:tickLblPos val="nextTo"/>
        <c:crossAx val="428580768"/>
        <c:crosses val="autoZero"/>
        <c:auto val="1"/>
        <c:lblAlgn val="ctr"/>
        <c:lblOffset val="100"/>
        <c:noMultiLvlLbl val="0"/>
      </c:catAx>
      <c:spPr>
        <a:noFill/>
        <a:ln>
          <a:noFill/>
        </a:ln>
        <a:effectLst/>
      </c:spPr>
    </c:plotArea>
    <c:legend>
      <c:legendPos val="b"/>
      <c:legendEntry>
        <c:idx val="0"/>
        <c:delete val="1"/>
      </c:legendEntry>
      <c:legendEntry>
        <c:idx val="1"/>
        <c:delete val="1"/>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Exhibit 5: What Drove Mercedes-Benz Cars EBIT Lower in 2025?</cx:v>
        </cx:txData>
      </cx:tx>
      <cx:txPr>
        <a:bodyPr spcFirstLastPara="1" vertOverflow="ellipsis" horzOverflow="overflow" wrap="square" lIns="0" tIns="0" rIns="0" bIns="0" anchor="ctr" anchorCtr="1"/>
        <a:lstStyle/>
        <a:p>
          <a:pPr algn="ctr" rtl="0">
            <a:defRPr>
              <a:latin typeface="Open Sans" panose="020B0606030504020204" pitchFamily="34" charset="0"/>
              <a:ea typeface="Open Sans" panose="020B0606030504020204" pitchFamily="34" charset="0"/>
              <a:cs typeface="Open Sans" panose="020B0606030504020204" pitchFamily="34" charset="0"/>
            </a:defRPr>
          </a:pPr>
          <a:r>
            <a:rPr lang="en-US" sz="14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Exhibit 5: What Drove Mercedes-Benz Cars EBIT Lower in 2025?</a:t>
          </a:r>
        </a:p>
      </cx:txPr>
    </cx:title>
    <cx:plotArea>
      <cx:plotAreaRegion>
        <cx:series layoutId="waterfall" uniqueId="{6B585DD6-AAC0-4BDA-A295-35A604B65B9C}">
          <cx:spPr>
            <a:solidFill>
              <a:schemeClr val="tx2"/>
            </a:solidFill>
          </cx:spPr>
          <cx:dataPt idx="0">
            <cx:spPr>
              <a:solidFill>
                <a:sysClr val="windowText" lastClr="000000">
                  <a:lumMod val="50000"/>
                  <a:lumOff val="50000"/>
                </a:sysClr>
              </a:solidFill>
            </cx:spPr>
          </cx:dataPt>
          <cx:dataPt idx="1">
            <cx:spPr>
              <a:solidFill>
                <a:srgbClr val="C00000"/>
              </a:solidFill>
            </cx:spPr>
          </cx:dataPt>
          <cx:dataPt idx="2">
            <cx:spPr>
              <a:solidFill>
                <a:srgbClr val="C00000"/>
              </a:solidFill>
            </cx:spPr>
          </cx:dataPt>
          <cx:dataPt idx="3">
            <cx:spPr>
              <a:solidFill>
                <a:srgbClr val="00B050"/>
              </a:solidFill>
            </cx:spPr>
          </cx:dataPt>
          <cx:dataPt idx="4">
            <cx:spPr>
              <a:solidFill>
                <a:srgbClr val="00B050"/>
              </a:solidFill>
            </cx:spPr>
          </cx:dataPt>
          <cx:dataPt idx="5">
            <cx:spPr>
              <a:solidFill>
                <a:srgbClr val="00B050"/>
              </a:solidFill>
            </cx:spPr>
          </cx:dataPt>
          <cx:dataPt idx="6">
            <cx:spPr>
              <a:solidFill>
                <a:srgbClr val="C00000"/>
              </a:solidFill>
            </cx:spPr>
          </cx:dataPt>
          <cx:dataPt idx="7">
            <cx:spPr>
              <a:solidFill>
                <a:srgbClr val="C00000"/>
              </a:solidFill>
            </cx:spPr>
          </cx:dataPt>
          <cx:dataLabels pos="outEnd">
            <cx:txPr>
              <a:bodyPr spcFirstLastPara="1" vertOverflow="ellipsis" horzOverflow="overflow" wrap="square" lIns="0" tIns="0" rIns="0" bIns="0" anchor="ctr" anchorCtr="1"/>
              <a:lstStyle/>
              <a:p>
                <a:pPr algn="ctr" rtl="0">
                  <a:defRPr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sz="9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x:txPr>
            <cx:visibility seriesName="0" categoryName="0" value="1"/>
            <cx:separator>, </cx:separator>
          </cx:dataLabels>
          <cx:dataId val="0"/>
          <cx:layoutPr>
            <cx:subtotals>
              <cx:idx val="0"/>
              <cx:idx val="8"/>
            </cx:subtotals>
          </cx:layoutPr>
        </cx:series>
      </cx:plotAreaRegion>
      <cx:axis id="0">
        <cx:catScaling gapWidth="0.5"/>
        <cx:tickLabels/>
        <cx:txPr>
          <a:bodyPr spcFirstLastPara="1" vertOverflow="ellipsis" horzOverflow="overflow" wrap="square" lIns="0" tIns="0" rIns="0" bIns="0" anchor="ctr" anchorCtr="1"/>
          <a:lstStyle/>
          <a:p>
            <a:pPr algn="ctr" rtl="0">
              <a:defRPr>
                <a:latin typeface="Open Sans" panose="020B0606030504020204" pitchFamily="34" charset="0"/>
                <a:ea typeface="Open Sans" panose="020B0606030504020204" pitchFamily="34" charset="0"/>
                <a:cs typeface="Open Sans" panose="020B0606030504020204" pitchFamily="34" charset="0"/>
              </a:defRPr>
            </a:pPr>
            <a:endParaRPr lang="en-US" sz="900" b="0"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endParaRPr>
          </a:p>
        </cx:txPr>
      </cx:axis>
      <cx:axis id="1">
        <cx:valScaling max="10000"/>
        <cx:title>
          <cx:tx>
            <cx:txData>
              <cx:v>Adjusted EBIT (Millions)</cx:v>
            </cx:txData>
          </cx:tx>
          <cx:txPr>
            <a:bodyPr spcFirstLastPara="1" vertOverflow="ellipsis" horzOverflow="overflow" wrap="square" lIns="0" tIns="0" rIns="0" bIns="0" anchor="ctr" anchorCtr="1"/>
            <a:lstStyle/>
            <a:p>
              <a:pPr algn="ctr" rtl="0">
                <a:defRPr>
                  <a:latin typeface="Open Sans" panose="020B0606030504020204" pitchFamily="34" charset="0"/>
                  <a:ea typeface="Open Sans" panose="020B0606030504020204" pitchFamily="34" charset="0"/>
                  <a:cs typeface="Open Sans" panose="020B0606030504020204" pitchFamily="34" charset="0"/>
                </a:defRPr>
              </a:pPr>
              <a:r>
                <a:rPr lang="en-US" sz="900" b="0"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rPr>
                <a:t>Adjusted EBIT (Millions)</a:t>
              </a:r>
            </a:p>
          </cx:txPr>
        </cx:title>
        <cx:tickLabels/>
        <cx:txPr>
          <a:bodyPr spcFirstLastPara="1" vertOverflow="ellipsis" horzOverflow="overflow" wrap="square" lIns="0" tIns="0" rIns="0" bIns="0" anchor="ctr" anchorCtr="1"/>
          <a:lstStyle/>
          <a:p>
            <a:pPr algn="ctr" rtl="0">
              <a:defRPr>
                <a:latin typeface="Open Sans" panose="020B0606030504020204" pitchFamily="34" charset="0"/>
                <a:ea typeface="Open Sans" panose="020B0606030504020204" pitchFamily="34" charset="0"/>
                <a:cs typeface="Open Sans" panose="020B0606030504020204" pitchFamily="34" charset="0"/>
              </a:defRPr>
            </a:pPr>
            <a:endParaRPr lang="en-US" sz="900" b="0"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BE637F0-D91A-425A-A524-6261AA59C46C}" type="doc">
      <dgm:prSet loTypeId="urn:microsoft.com/office/officeart/2005/8/layout/hierarchy1" loCatId="hierarchy" qsTypeId="urn:microsoft.com/office/officeart/2005/8/quickstyle/simple1" qsCatId="simple" csTypeId="urn:microsoft.com/office/officeart/2005/8/colors/accent0_3" csCatId="mainScheme" phldr="1"/>
      <dgm:spPr/>
      <dgm:t>
        <a:bodyPr/>
        <a:lstStyle/>
        <a:p>
          <a:endParaRPr lang="en-US"/>
        </a:p>
      </dgm:t>
    </dgm:pt>
    <dgm:pt modelId="{9CDA10E5-D05D-4D71-87FD-CCBD56DE5BB6}">
      <dgm:prSet phldrT="[Text]"/>
      <dgm:spPr>
        <a:solidFill>
          <a:schemeClr val="bg1">
            <a:alpha val="90000"/>
          </a:schemeClr>
        </a:solidFill>
      </dgm:spPr>
      <dgm:t>
        <a:bodyPr/>
        <a:lstStyle/>
        <a:p>
          <a:r>
            <a:rPr lang="en-US">
              <a:latin typeface="Open Sans" panose="020B0606030504020204" pitchFamily="34" charset="0"/>
              <a:ea typeface="Open Sans" panose="020B0606030504020204" pitchFamily="34" charset="0"/>
              <a:cs typeface="Open Sans" panose="020B0606030504020204" pitchFamily="34" charset="0"/>
            </a:rPr>
            <a:t>China Market Contraction &amp; Competitive Pressure </a:t>
          </a:r>
        </a:p>
        <a:p>
          <a:r>
            <a:rPr lang="en-US" b="1">
              <a:solidFill>
                <a:srgbClr val="C00000"/>
              </a:solidFill>
              <a:latin typeface="Open Sans" panose="020B0606030504020204" pitchFamily="34" charset="0"/>
              <a:ea typeface="Open Sans" panose="020B0606030504020204" pitchFamily="34" charset="0"/>
              <a:cs typeface="Open Sans" panose="020B0606030504020204" pitchFamily="34" charset="0"/>
            </a:rPr>
            <a:t>(-19.2% Unit Volume)</a:t>
          </a:r>
        </a:p>
      </dgm:t>
    </dgm:pt>
    <dgm:pt modelId="{749C1196-B7F1-443D-B2DE-29CF7A0220B3}" type="parTrans" cxnId="{420C9712-F5E6-441B-8EFB-C6B59AAF2ABC}">
      <dgm:prSet/>
      <dgm:spPr/>
      <dgm:t>
        <a:bodyPr/>
        <a:lstStyle/>
        <a:p>
          <a:endParaRPr lang="en-US"/>
        </a:p>
      </dgm:t>
    </dgm:pt>
    <dgm:pt modelId="{B0C3058E-223F-4FC3-9685-E7036D8E7FA2}" type="sibTrans" cxnId="{420C9712-F5E6-441B-8EFB-C6B59AAF2ABC}">
      <dgm:prSet/>
      <dgm:spPr/>
      <dgm:t>
        <a:bodyPr/>
        <a:lstStyle/>
        <a:p>
          <a:endParaRPr lang="en-US"/>
        </a:p>
      </dgm:t>
    </dgm:pt>
    <dgm:pt modelId="{F2AB6B4B-8EA3-410F-BEDD-480F92551DE7}" type="asst">
      <dgm:prSet phldrT="[Text]"/>
      <dgm:spPr>
        <a:solidFill>
          <a:schemeClr val="bg1">
            <a:alpha val="90000"/>
          </a:schemeClr>
        </a:solidFill>
        <a:ln>
          <a:solidFill>
            <a:schemeClr val="dk2">
              <a:hueOff val="0"/>
              <a:satOff val="0"/>
              <a:lumOff val="0"/>
              <a:alpha val="98000"/>
            </a:schemeClr>
          </a:solidFill>
        </a:ln>
      </dgm:spPr>
      <dgm:t>
        <a:bodyPr/>
        <a:lstStyle/>
        <a:p>
          <a:r>
            <a:rPr lang="en-US">
              <a:latin typeface="Open Sans" panose="020B0606030504020204" pitchFamily="34" charset="0"/>
              <a:ea typeface="Open Sans" panose="020B0606030504020204" pitchFamily="34" charset="0"/>
              <a:cs typeface="Open Sans" panose="020B0606030504020204" pitchFamily="34" charset="0"/>
            </a:rPr>
            <a:t>Lower Cars Unit Sales &amp; Weaker Mix &amp; Pricing</a:t>
          </a:r>
        </a:p>
      </dgm:t>
    </dgm:pt>
    <dgm:pt modelId="{11884ACD-FC3C-4BEA-AB97-CDF3E2BE5E56}" type="parTrans" cxnId="{BB277609-220E-4B6D-B4B4-5F4734344ECC}">
      <dgm:prSet/>
      <dgm:spPr/>
      <dgm:t>
        <a:bodyPr/>
        <a:lstStyle/>
        <a:p>
          <a:endParaRPr lang="en-US"/>
        </a:p>
      </dgm:t>
    </dgm:pt>
    <dgm:pt modelId="{6E45AC32-BDF1-4EA9-8289-AB73FA3478BD}" type="sibTrans" cxnId="{BB277609-220E-4B6D-B4B4-5F4734344ECC}">
      <dgm:prSet/>
      <dgm:spPr/>
      <dgm:t>
        <a:bodyPr/>
        <a:lstStyle/>
        <a:p>
          <a:endParaRPr lang="en-US"/>
        </a:p>
      </dgm:t>
    </dgm:pt>
    <dgm:pt modelId="{F7477C3D-950B-4878-AD49-C40B267180CD}" type="asst">
      <dgm:prSet phldrT="[Text]"/>
      <dgm:spPr>
        <a:solidFill>
          <a:schemeClr val="bg1">
            <a:alpha val="90000"/>
          </a:schemeClr>
        </a:solidFill>
        <a:ln>
          <a:solidFill>
            <a:schemeClr val="dk2">
              <a:hueOff val="0"/>
              <a:satOff val="0"/>
              <a:lumOff val="0"/>
              <a:alpha val="98000"/>
            </a:schemeClr>
          </a:solidFill>
        </a:ln>
      </dgm:spPr>
      <dgm:t>
        <a:bodyPr/>
        <a:lstStyle/>
        <a:p>
          <a:r>
            <a:rPr lang="en-US">
              <a:latin typeface="Open Sans" panose="020B0606030504020204" pitchFamily="34" charset="0"/>
              <a:ea typeface="Open Sans" panose="020B0606030504020204" pitchFamily="34" charset="0"/>
              <a:cs typeface="Open Sans" panose="020B0606030504020204" pitchFamily="34" charset="0"/>
            </a:rPr>
            <a:t>Lower BBAC-Related Contribution</a:t>
          </a:r>
        </a:p>
      </dgm:t>
    </dgm:pt>
    <dgm:pt modelId="{F9F0223E-8016-46E1-9A3C-F24D2087788E}" type="parTrans" cxnId="{1B2C64EF-CD98-4B92-947C-866661AE3427}">
      <dgm:prSet/>
      <dgm:spPr/>
      <dgm:t>
        <a:bodyPr/>
        <a:lstStyle/>
        <a:p>
          <a:endParaRPr lang="en-US"/>
        </a:p>
      </dgm:t>
    </dgm:pt>
    <dgm:pt modelId="{F6BE58DD-543C-4C60-8285-F32F42BCCD1F}" type="sibTrans" cxnId="{1B2C64EF-CD98-4B92-947C-866661AE3427}">
      <dgm:prSet/>
      <dgm:spPr/>
      <dgm:t>
        <a:bodyPr/>
        <a:lstStyle/>
        <a:p>
          <a:endParaRPr lang="en-US"/>
        </a:p>
      </dgm:t>
    </dgm:pt>
    <dgm:pt modelId="{0DA334B5-AC9E-45A3-97E7-AB1EA6E262DB}">
      <dgm:prSet/>
      <dgm:spPr>
        <a:solidFill>
          <a:schemeClr val="bg1">
            <a:alpha val="90000"/>
          </a:schemeClr>
        </a:solidFill>
      </dgm:spPr>
      <dgm:t>
        <a:bodyPr/>
        <a:lstStyle/>
        <a:p>
          <a:r>
            <a:rPr lang="en-US">
              <a:latin typeface="Open Sans" panose="020B0606030504020204" pitchFamily="34" charset="0"/>
              <a:ea typeface="Open Sans" panose="020B0606030504020204" pitchFamily="34" charset="0"/>
              <a:cs typeface="Open Sans" panose="020B0606030504020204" pitchFamily="34" charset="0"/>
            </a:rPr>
            <a:t>BBAC Equity-Method Earnings</a:t>
          </a:r>
        </a:p>
        <a:p>
          <a:r>
            <a:rPr lang="en-US" b="1">
              <a:solidFill>
                <a:srgbClr val="C00000"/>
              </a:solidFill>
              <a:latin typeface="Open Sans" panose="020B0606030504020204" pitchFamily="34" charset="0"/>
              <a:ea typeface="Open Sans" panose="020B0606030504020204" pitchFamily="34" charset="0"/>
              <a:cs typeface="Open Sans" panose="020B0606030504020204" pitchFamily="34" charset="0"/>
            </a:rPr>
            <a:t>(-€312m Adjusted EBIT)</a:t>
          </a:r>
        </a:p>
      </dgm:t>
    </dgm:pt>
    <dgm:pt modelId="{9AB9356B-3522-4F72-A02E-7D95C7608E8B}" type="parTrans" cxnId="{87EB5FCE-9F35-49BD-A334-1CC52FE27098}">
      <dgm:prSet/>
      <dgm:spPr/>
      <dgm:t>
        <a:bodyPr/>
        <a:lstStyle/>
        <a:p>
          <a:endParaRPr lang="en-US"/>
        </a:p>
      </dgm:t>
    </dgm:pt>
    <dgm:pt modelId="{F8DDAAF4-9095-4DF1-8A74-562BF5FA295D}" type="sibTrans" cxnId="{87EB5FCE-9F35-49BD-A334-1CC52FE27098}">
      <dgm:prSet/>
      <dgm:spPr/>
      <dgm:t>
        <a:bodyPr/>
        <a:lstStyle/>
        <a:p>
          <a:endParaRPr lang="en-US"/>
        </a:p>
      </dgm:t>
    </dgm:pt>
    <dgm:pt modelId="{FB75C5D0-CC39-4CCC-ADD2-0C522D32235F}">
      <dgm:prSet/>
      <dgm:spPr>
        <a:solidFill>
          <a:schemeClr val="bg1">
            <a:alpha val="90000"/>
          </a:schemeClr>
        </a:solidFill>
      </dgm:spPr>
      <dgm:t>
        <a:bodyPr/>
        <a:lstStyle/>
        <a:p>
          <a:r>
            <a:rPr lang="en-US">
              <a:latin typeface="Open Sans" panose="020B0606030504020204" pitchFamily="34" charset="0"/>
              <a:ea typeface="Open Sans" panose="020B0606030504020204" pitchFamily="34" charset="0"/>
              <a:cs typeface="Open Sans" panose="020B0606030504020204" pitchFamily="34" charset="0"/>
            </a:rPr>
            <a:t>Component Business (Consolidated Revenue)</a:t>
          </a:r>
        </a:p>
      </dgm:t>
    </dgm:pt>
    <dgm:pt modelId="{DD40C630-69D4-42A6-AA8E-5455185DF721}" type="parTrans" cxnId="{2DFFE375-DD4F-4133-A529-6C108C83F734}">
      <dgm:prSet/>
      <dgm:spPr/>
      <dgm:t>
        <a:bodyPr/>
        <a:lstStyle/>
        <a:p>
          <a:endParaRPr lang="en-US"/>
        </a:p>
      </dgm:t>
    </dgm:pt>
    <dgm:pt modelId="{A4E4E06B-4CB0-4182-9729-0E85BDA09DD9}" type="sibTrans" cxnId="{2DFFE375-DD4F-4133-A529-6C108C83F734}">
      <dgm:prSet/>
      <dgm:spPr/>
      <dgm:t>
        <a:bodyPr/>
        <a:lstStyle/>
        <a:p>
          <a:endParaRPr lang="en-US"/>
        </a:p>
      </dgm:t>
    </dgm:pt>
    <dgm:pt modelId="{74E0560F-82B1-4144-B188-CB58D40B3591}" type="pres">
      <dgm:prSet presAssocID="{0BE637F0-D91A-425A-A524-6261AA59C46C}" presName="hierChild1" presStyleCnt="0">
        <dgm:presLayoutVars>
          <dgm:chPref val="1"/>
          <dgm:dir/>
          <dgm:animOne val="branch"/>
          <dgm:animLvl val="lvl"/>
          <dgm:resizeHandles/>
        </dgm:presLayoutVars>
      </dgm:prSet>
      <dgm:spPr/>
    </dgm:pt>
    <dgm:pt modelId="{D83D1436-9DC1-44B0-9FCF-DC258DE7585B}" type="pres">
      <dgm:prSet presAssocID="{9CDA10E5-D05D-4D71-87FD-CCBD56DE5BB6}" presName="hierRoot1" presStyleCnt="0"/>
      <dgm:spPr/>
    </dgm:pt>
    <dgm:pt modelId="{04DCE94F-836C-40BE-BDAC-B8387E239B00}" type="pres">
      <dgm:prSet presAssocID="{9CDA10E5-D05D-4D71-87FD-CCBD56DE5BB6}" presName="composite" presStyleCnt="0"/>
      <dgm:spPr/>
    </dgm:pt>
    <dgm:pt modelId="{91AC689A-0DF6-4619-ACF5-CEF61FDBB925}" type="pres">
      <dgm:prSet presAssocID="{9CDA10E5-D05D-4D71-87FD-CCBD56DE5BB6}" presName="background" presStyleLbl="node0" presStyleIdx="0" presStyleCnt="1"/>
      <dgm:spPr>
        <a:solidFill>
          <a:schemeClr val="tx2"/>
        </a:solidFill>
      </dgm:spPr>
    </dgm:pt>
    <dgm:pt modelId="{49B7F0C2-2BB6-4FAA-B355-FD53F396369D}" type="pres">
      <dgm:prSet presAssocID="{9CDA10E5-D05D-4D71-87FD-CCBD56DE5BB6}" presName="text" presStyleLbl="fgAcc0" presStyleIdx="0" presStyleCnt="1" custScaleX="128640">
        <dgm:presLayoutVars>
          <dgm:chPref val="3"/>
        </dgm:presLayoutVars>
      </dgm:prSet>
      <dgm:spPr/>
    </dgm:pt>
    <dgm:pt modelId="{41EAE4AA-2D0D-49CF-9DFB-683A63C47EB5}" type="pres">
      <dgm:prSet presAssocID="{9CDA10E5-D05D-4D71-87FD-CCBD56DE5BB6}" presName="hierChild2" presStyleCnt="0"/>
      <dgm:spPr/>
    </dgm:pt>
    <dgm:pt modelId="{1151EDEB-B9C6-4F44-978E-B97A8761F7EC}" type="pres">
      <dgm:prSet presAssocID="{11884ACD-FC3C-4BEA-AB97-CDF3E2BE5E56}" presName="Name10" presStyleLbl="parChTrans1D2" presStyleIdx="0" presStyleCnt="2"/>
      <dgm:spPr/>
    </dgm:pt>
    <dgm:pt modelId="{17BA37DF-C682-4621-B0A6-9FE2458F127D}" type="pres">
      <dgm:prSet presAssocID="{F2AB6B4B-8EA3-410F-BEDD-480F92551DE7}" presName="hierRoot2" presStyleCnt="0"/>
      <dgm:spPr/>
    </dgm:pt>
    <dgm:pt modelId="{55078C64-9B2D-4EDC-A0BA-1CB33E248DDA}" type="pres">
      <dgm:prSet presAssocID="{F2AB6B4B-8EA3-410F-BEDD-480F92551DE7}" presName="composite2" presStyleCnt="0"/>
      <dgm:spPr/>
    </dgm:pt>
    <dgm:pt modelId="{77AAC3C8-720D-4D98-9A09-9EA18A0A3089}" type="pres">
      <dgm:prSet presAssocID="{F2AB6B4B-8EA3-410F-BEDD-480F92551DE7}" presName="background2" presStyleLbl="asst1" presStyleIdx="0" presStyleCnt="2"/>
      <dgm:spPr>
        <a:solidFill>
          <a:schemeClr val="tx2"/>
        </a:solidFill>
      </dgm:spPr>
    </dgm:pt>
    <dgm:pt modelId="{90DE3610-05D2-407B-8310-0140F53FC1CE}" type="pres">
      <dgm:prSet presAssocID="{F2AB6B4B-8EA3-410F-BEDD-480F92551DE7}" presName="text2" presStyleLbl="fgAcc2" presStyleIdx="0" presStyleCnt="2" custScaleX="149477">
        <dgm:presLayoutVars>
          <dgm:chPref val="3"/>
        </dgm:presLayoutVars>
      </dgm:prSet>
      <dgm:spPr/>
    </dgm:pt>
    <dgm:pt modelId="{650FC07E-2D21-4086-9E00-7747024004A3}" type="pres">
      <dgm:prSet presAssocID="{F2AB6B4B-8EA3-410F-BEDD-480F92551DE7}" presName="hierChild3" presStyleCnt="0"/>
      <dgm:spPr/>
    </dgm:pt>
    <dgm:pt modelId="{B2BDA0B5-905B-4558-9FBF-F9EA38E96D85}" type="pres">
      <dgm:prSet presAssocID="{F9F0223E-8016-46E1-9A3C-F24D2087788E}" presName="Name10" presStyleLbl="parChTrans1D2" presStyleIdx="1" presStyleCnt="2"/>
      <dgm:spPr/>
    </dgm:pt>
    <dgm:pt modelId="{15F7855E-66E8-4786-AE6B-ED135AC29465}" type="pres">
      <dgm:prSet presAssocID="{F7477C3D-950B-4878-AD49-C40B267180CD}" presName="hierRoot2" presStyleCnt="0"/>
      <dgm:spPr/>
    </dgm:pt>
    <dgm:pt modelId="{6153948D-951B-43D3-9D51-753AB7E2A637}" type="pres">
      <dgm:prSet presAssocID="{F7477C3D-950B-4878-AD49-C40B267180CD}" presName="composite2" presStyleCnt="0"/>
      <dgm:spPr/>
    </dgm:pt>
    <dgm:pt modelId="{E7D2CE72-771C-4D82-869D-F994560AC5C0}" type="pres">
      <dgm:prSet presAssocID="{F7477C3D-950B-4878-AD49-C40B267180CD}" presName="background2" presStyleLbl="asst1" presStyleIdx="1" presStyleCnt="2"/>
      <dgm:spPr>
        <a:solidFill>
          <a:schemeClr val="tx2"/>
        </a:solidFill>
      </dgm:spPr>
    </dgm:pt>
    <dgm:pt modelId="{5E4E0EC6-BDB7-42D9-8496-DBCB6A36C1B1}" type="pres">
      <dgm:prSet presAssocID="{F7477C3D-950B-4878-AD49-C40B267180CD}" presName="text2" presStyleLbl="fgAcc2" presStyleIdx="1" presStyleCnt="2" custScaleX="149477">
        <dgm:presLayoutVars>
          <dgm:chPref val="3"/>
        </dgm:presLayoutVars>
      </dgm:prSet>
      <dgm:spPr/>
    </dgm:pt>
    <dgm:pt modelId="{F640E8F6-A710-4749-A79C-5F4D43473F86}" type="pres">
      <dgm:prSet presAssocID="{F7477C3D-950B-4878-AD49-C40B267180CD}" presName="hierChild3" presStyleCnt="0"/>
      <dgm:spPr/>
    </dgm:pt>
    <dgm:pt modelId="{6DF8DF9E-111C-41CB-A372-858F1386EE9B}" type="pres">
      <dgm:prSet presAssocID="{DD40C630-69D4-42A6-AA8E-5455185DF721}" presName="Name17" presStyleLbl="parChTrans1D3" presStyleIdx="0" presStyleCnt="2"/>
      <dgm:spPr/>
    </dgm:pt>
    <dgm:pt modelId="{B6B3D6DA-C6FD-4772-9333-0DD486E7680B}" type="pres">
      <dgm:prSet presAssocID="{FB75C5D0-CC39-4CCC-ADD2-0C522D32235F}" presName="hierRoot3" presStyleCnt="0"/>
      <dgm:spPr/>
    </dgm:pt>
    <dgm:pt modelId="{8401A3A9-F0B8-4340-9E84-8A8D9BDEB855}" type="pres">
      <dgm:prSet presAssocID="{FB75C5D0-CC39-4CCC-ADD2-0C522D32235F}" presName="composite3" presStyleCnt="0"/>
      <dgm:spPr/>
    </dgm:pt>
    <dgm:pt modelId="{F90BE7AE-398D-4C1F-AFA9-FE305968DEEF}" type="pres">
      <dgm:prSet presAssocID="{FB75C5D0-CC39-4CCC-ADD2-0C522D32235F}" presName="background3" presStyleLbl="node3" presStyleIdx="0" presStyleCnt="2"/>
      <dgm:spPr/>
    </dgm:pt>
    <dgm:pt modelId="{906E8348-683E-4928-9AFD-2CEF956DACF6}" type="pres">
      <dgm:prSet presAssocID="{FB75C5D0-CC39-4CCC-ADD2-0C522D32235F}" presName="text3" presStyleLbl="fgAcc3" presStyleIdx="0" presStyleCnt="2" custScaleX="140006">
        <dgm:presLayoutVars>
          <dgm:chPref val="3"/>
        </dgm:presLayoutVars>
      </dgm:prSet>
      <dgm:spPr/>
    </dgm:pt>
    <dgm:pt modelId="{1857B33C-F1DC-493E-B1FF-E7E781F8D1E8}" type="pres">
      <dgm:prSet presAssocID="{FB75C5D0-CC39-4CCC-ADD2-0C522D32235F}" presName="hierChild4" presStyleCnt="0"/>
      <dgm:spPr/>
    </dgm:pt>
    <dgm:pt modelId="{25B3FE7A-FC67-4C1B-BC09-A77599842990}" type="pres">
      <dgm:prSet presAssocID="{9AB9356B-3522-4F72-A02E-7D95C7608E8B}" presName="Name17" presStyleLbl="parChTrans1D3" presStyleIdx="1" presStyleCnt="2"/>
      <dgm:spPr/>
    </dgm:pt>
    <dgm:pt modelId="{06FEFD90-2E3E-47D9-8BF8-B206984DC015}" type="pres">
      <dgm:prSet presAssocID="{0DA334B5-AC9E-45A3-97E7-AB1EA6E262DB}" presName="hierRoot3" presStyleCnt="0"/>
      <dgm:spPr/>
    </dgm:pt>
    <dgm:pt modelId="{7777063C-B2FC-40B0-B873-3C0B0485EA17}" type="pres">
      <dgm:prSet presAssocID="{0DA334B5-AC9E-45A3-97E7-AB1EA6E262DB}" presName="composite3" presStyleCnt="0"/>
      <dgm:spPr/>
    </dgm:pt>
    <dgm:pt modelId="{F40A860C-06F6-4587-814F-A4D3901C5215}" type="pres">
      <dgm:prSet presAssocID="{0DA334B5-AC9E-45A3-97E7-AB1EA6E262DB}" presName="background3" presStyleLbl="node3" presStyleIdx="1" presStyleCnt="2"/>
      <dgm:spPr>
        <a:solidFill>
          <a:schemeClr val="tx2"/>
        </a:solidFill>
      </dgm:spPr>
    </dgm:pt>
    <dgm:pt modelId="{DEEDAF97-CC0D-4CDD-87D8-7A441E9C1545}" type="pres">
      <dgm:prSet presAssocID="{0DA334B5-AC9E-45A3-97E7-AB1EA6E262DB}" presName="text3" presStyleLbl="fgAcc3" presStyleIdx="1" presStyleCnt="2" custScaleX="140006">
        <dgm:presLayoutVars>
          <dgm:chPref val="3"/>
        </dgm:presLayoutVars>
      </dgm:prSet>
      <dgm:spPr/>
    </dgm:pt>
    <dgm:pt modelId="{E310F887-7220-4650-A34D-0263B963F996}" type="pres">
      <dgm:prSet presAssocID="{0DA334B5-AC9E-45A3-97E7-AB1EA6E262DB}" presName="hierChild4" presStyleCnt="0"/>
      <dgm:spPr/>
    </dgm:pt>
  </dgm:ptLst>
  <dgm:cxnLst>
    <dgm:cxn modelId="{BB277609-220E-4B6D-B4B4-5F4734344ECC}" srcId="{9CDA10E5-D05D-4D71-87FD-CCBD56DE5BB6}" destId="{F2AB6B4B-8EA3-410F-BEDD-480F92551DE7}" srcOrd="0" destOrd="0" parTransId="{11884ACD-FC3C-4BEA-AB97-CDF3E2BE5E56}" sibTransId="{6E45AC32-BDF1-4EA9-8289-AB73FA3478BD}"/>
    <dgm:cxn modelId="{A7CA250B-FCDE-42DB-B09A-C88F188CCE44}" type="presOf" srcId="{9CDA10E5-D05D-4D71-87FD-CCBD56DE5BB6}" destId="{49B7F0C2-2BB6-4FAA-B355-FD53F396369D}" srcOrd="0" destOrd="0" presId="urn:microsoft.com/office/officeart/2005/8/layout/hierarchy1"/>
    <dgm:cxn modelId="{420C9712-F5E6-441B-8EFB-C6B59AAF2ABC}" srcId="{0BE637F0-D91A-425A-A524-6261AA59C46C}" destId="{9CDA10E5-D05D-4D71-87FD-CCBD56DE5BB6}" srcOrd="0" destOrd="0" parTransId="{749C1196-B7F1-443D-B2DE-29CF7A0220B3}" sibTransId="{B0C3058E-223F-4FC3-9685-E7036D8E7FA2}"/>
    <dgm:cxn modelId="{6C3EA533-EE99-4782-BFE0-BB394664E0F1}" type="presOf" srcId="{F2AB6B4B-8EA3-410F-BEDD-480F92551DE7}" destId="{90DE3610-05D2-407B-8310-0140F53FC1CE}" srcOrd="0" destOrd="0" presId="urn:microsoft.com/office/officeart/2005/8/layout/hierarchy1"/>
    <dgm:cxn modelId="{A8A52069-9568-4E67-9578-451D81AE04A3}" type="presOf" srcId="{9AB9356B-3522-4F72-A02E-7D95C7608E8B}" destId="{25B3FE7A-FC67-4C1B-BC09-A77599842990}" srcOrd="0" destOrd="0" presId="urn:microsoft.com/office/officeart/2005/8/layout/hierarchy1"/>
    <dgm:cxn modelId="{5967946B-F14C-498F-8DAD-F71E8BADEC19}" type="presOf" srcId="{F7477C3D-950B-4878-AD49-C40B267180CD}" destId="{5E4E0EC6-BDB7-42D9-8496-DBCB6A36C1B1}" srcOrd="0" destOrd="0" presId="urn:microsoft.com/office/officeart/2005/8/layout/hierarchy1"/>
    <dgm:cxn modelId="{2DFFE375-DD4F-4133-A529-6C108C83F734}" srcId="{F7477C3D-950B-4878-AD49-C40B267180CD}" destId="{FB75C5D0-CC39-4CCC-ADD2-0C522D32235F}" srcOrd="0" destOrd="0" parTransId="{DD40C630-69D4-42A6-AA8E-5455185DF721}" sibTransId="{A4E4E06B-4CB0-4182-9729-0E85BDA09DD9}"/>
    <dgm:cxn modelId="{2DE3AA57-A00A-4DD8-956B-C0468B77C4BE}" type="presOf" srcId="{0DA334B5-AC9E-45A3-97E7-AB1EA6E262DB}" destId="{DEEDAF97-CC0D-4CDD-87D8-7A441E9C1545}" srcOrd="0" destOrd="0" presId="urn:microsoft.com/office/officeart/2005/8/layout/hierarchy1"/>
    <dgm:cxn modelId="{F1BAB377-197F-4E14-AB00-AFC7707DAB42}" type="presOf" srcId="{F9F0223E-8016-46E1-9A3C-F24D2087788E}" destId="{B2BDA0B5-905B-4558-9FBF-F9EA38E96D85}" srcOrd="0" destOrd="0" presId="urn:microsoft.com/office/officeart/2005/8/layout/hierarchy1"/>
    <dgm:cxn modelId="{B97C05CB-A785-4F98-AEF6-72BD19F585D4}" type="presOf" srcId="{DD40C630-69D4-42A6-AA8E-5455185DF721}" destId="{6DF8DF9E-111C-41CB-A372-858F1386EE9B}" srcOrd="0" destOrd="0" presId="urn:microsoft.com/office/officeart/2005/8/layout/hierarchy1"/>
    <dgm:cxn modelId="{87EB5FCE-9F35-49BD-A334-1CC52FE27098}" srcId="{F7477C3D-950B-4878-AD49-C40B267180CD}" destId="{0DA334B5-AC9E-45A3-97E7-AB1EA6E262DB}" srcOrd="1" destOrd="0" parTransId="{9AB9356B-3522-4F72-A02E-7D95C7608E8B}" sibTransId="{F8DDAAF4-9095-4DF1-8A74-562BF5FA295D}"/>
    <dgm:cxn modelId="{4BDA82D0-E203-491D-86AF-B36BECB9C6AD}" type="presOf" srcId="{FB75C5D0-CC39-4CCC-ADD2-0C522D32235F}" destId="{906E8348-683E-4928-9AFD-2CEF956DACF6}" srcOrd="0" destOrd="0" presId="urn:microsoft.com/office/officeart/2005/8/layout/hierarchy1"/>
    <dgm:cxn modelId="{7AD0FFD0-53B2-4F45-8846-5EE3D569A6E4}" type="presOf" srcId="{11884ACD-FC3C-4BEA-AB97-CDF3E2BE5E56}" destId="{1151EDEB-B9C6-4F44-978E-B97A8761F7EC}" srcOrd="0" destOrd="0" presId="urn:microsoft.com/office/officeart/2005/8/layout/hierarchy1"/>
    <dgm:cxn modelId="{6A0616DB-C00E-4A13-9763-3759560A704A}" type="presOf" srcId="{0BE637F0-D91A-425A-A524-6261AA59C46C}" destId="{74E0560F-82B1-4144-B188-CB58D40B3591}" srcOrd="0" destOrd="0" presId="urn:microsoft.com/office/officeart/2005/8/layout/hierarchy1"/>
    <dgm:cxn modelId="{1B2C64EF-CD98-4B92-947C-866661AE3427}" srcId="{9CDA10E5-D05D-4D71-87FD-CCBD56DE5BB6}" destId="{F7477C3D-950B-4878-AD49-C40B267180CD}" srcOrd="1" destOrd="0" parTransId="{F9F0223E-8016-46E1-9A3C-F24D2087788E}" sibTransId="{F6BE58DD-543C-4C60-8285-F32F42BCCD1F}"/>
    <dgm:cxn modelId="{F20C86EA-04B4-4F9F-B30F-85B0FD3E88A7}" type="presParOf" srcId="{74E0560F-82B1-4144-B188-CB58D40B3591}" destId="{D83D1436-9DC1-44B0-9FCF-DC258DE7585B}" srcOrd="0" destOrd="0" presId="urn:microsoft.com/office/officeart/2005/8/layout/hierarchy1"/>
    <dgm:cxn modelId="{B3843905-06B3-4347-9120-9AC27B1CCE7B}" type="presParOf" srcId="{D83D1436-9DC1-44B0-9FCF-DC258DE7585B}" destId="{04DCE94F-836C-40BE-BDAC-B8387E239B00}" srcOrd="0" destOrd="0" presId="urn:microsoft.com/office/officeart/2005/8/layout/hierarchy1"/>
    <dgm:cxn modelId="{DE8AB929-07CA-4C42-82A2-1E1567C0BA31}" type="presParOf" srcId="{04DCE94F-836C-40BE-BDAC-B8387E239B00}" destId="{91AC689A-0DF6-4619-ACF5-CEF61FDBB925}" srcOrd="0" destOrd="0" presId="urn:microsoft.com/office/officeart/2005/8/layout/hierarchy1"/>
    <dgm:cxn modelId="{5A580A2A-EFA0-41B2-BB29-74FD420F4AFF}" type="presParOf" srcId="{04DCE94F-836C-40BE-BDAC-B8387E239B00}" destId="{49B7F0C2-2BB6-4FAA-B355-FD53F396369D}" srcOrd="1" destOrd="0" presId="urn:microsoft.com/office/officeart/2005/8/layout/hierarchy1"/>
    <dgm:cxn modelId="{0E2AD098-F5E9-4C87-B855-7229043CFD0E}" type="presParOf" srcId="{D83D1436-9DC1-44B0-9FCF-DC258DE7585B}" destId="{41EAE4AA-2D0D-49CF-9DFB-683A63C47EB5}" srcOrd="1" destOrd="0" presId="urn:microsoft.com/office/officeart/2005/8/layout/hierarchy1"/>
    <dgm:cxn modelId="{4CEAEC5B-04EE-4B6E-9B28-A8EBB9755B62}" type="presParOf" srcId="{41EAE4AA-2D0D-49CF-9DFB-683A63C47EB5}" destId="{1151EDEB-B9C6-4F44-978E-B97A8761F7EC}" srcOrd="0" destOrd="0" presId="urn:microsoft.com/office/officeart/2005/8/layout/hierarchy1"/>
    <dgm:cxn modelId="{CEFAF811-6221-4170-9A11-6BBA8018769E}" type="presParOf" srcId="{41EAE4AA-2D0D-49CF-9DFB-683A63C47EB5}" destId="{17BA37DF-C682-4621-B0A6-9FE2458F127D}" srcOrd="1" destOrd="0" presId="urn:microsoft.com/office/officeart/2005/8/layout/hierarchy1"/>
    <dgm:cxn modelId="{09F7B165-8EA7-4D49-8B32-A9D1F878CF64}" type="presParOf" srcId="{17BA37DF-C682-4621-B0A6-9FE2458F127D}" destId="{55078C64-9B2D-4EDC-A0BA-1CB33E248DDA}" srcOrd="0" destOrd="0" presId="urn:microsoft.com/office/officeart/2005/8/layout/hierarchy1"/>
    <dgm:cxn modelId="{1E16AE99-D520-4996-AB2A-CC090CF64D3A}" type="presParOf" srcId="{55078C64-9B2D-4EDC-A0BA-1CB33E248DDA}" destId="{77AAC3C8-720D-4D98-9A09-9EA18A0A3089}" srcOrd="0" destOrd="0" presId="urn:microsoft.com/office/officeart/2005/8/layout/hierarchy1"/>
    <dgm:cxn modelId="{954435CE-FA19-4367-BD47-C3D587F3FC46}" type="presParOf" srcId="{55078C64-9B2D-4EDC-A0BA-1CB33E248DDA}" destId="{90DE3610-05D2-407B-8310-0140F53FC1CE}" srcOrd="1" destOrd="0" presId="urn:microsoft.com/office/officeart/2005/8/layout/hierarchy1"/>
    <dgm:cxn modelId="{379EE7D3-72DB-472B-8A18-1D3A9B596808}" type="presParOf" srcId="{17BA37DF-C682-4621-B0A6-9FE2458F127D}" destId="{650FC07E-2D21-4086-9E00-7747024004A3}" srcOrd="1" destOrd="0" presId="urn:microsoft.com/office/officeart/2005/8/layout/hierarchy1"/>
    <dgm:cxn modelId="{3F306A52-DFF4-4A5F-A00D-19C5DA9F31A7}" type="presParOf" srcId="{41EAE4AA-2D0D-49CF-9DFB-683A63C47EB5}" destId="{B2BDA0B5-905B-4558-9FBF-F9EA38E96D85}" srcOrd="2" destOrd="0" presId="urn:microsoft.com/office/officeart/2005/8/layout/hierarchy1"/>
    <dgm:cxn modelId="{E3881A1B-0F1C-4B8B-97AB-5E6032F2B29E}" type="presParOf" srcId="{41EAE4AA-2D0D-49CF-9DFB-683A63C47EB5}" destId="{15F7855E-66E8-4786-AE6B-ED135AC29465}" srcOrd="3" destOrd="0" presId="urn:microsoft.com/office/officeart/2005/8/layout/hierarchy1"/>
    <dgm:cxn modelId="{8515C300-D9D6-4D1A-AF6E-DAAD5C3FADC5}" type="presParOf" srcId="{15F7855E-66E8-4786-AE6B-ED135AC29465}" destId="{6153948D-951B-43D3-9D51-753AB7E2A637}" srcOrd="0" destOrd="0" presId="urn:microsoft.com/office/officeart/2005/8/layout/hierarchy1"/>
    <dgm:cxn modelId="{17F83515-3CD8-4A74-9250-11443B5BB618}" type="presParOf" srcId="{6153948D-951B-43D3-9D51-753AB7E2A637}" destId="{E7D2CE72-771C-4D82-869D-F994560AC5C0}" srcOrd="0" destOrd="0" presId="urn:microsoft.com/office/officeart/2005/8/layout/hierarchy1"/>
    <dgm:cxn modelId="{3C381B8A-7382-4A6C-9814-D9746D30A51F}" type="presParOf" srcId="{6153948D-951B-43D3-9D51-753AB7E2A637}" destId="{5E4E0EC6-BDB7-42D9-8496-DBCB6A36C1B1}" srcOrd="1" destOrd="0" presId="urn:microsoft.com/office/officeart/2005/8/layout/hierarchy1"/>
    <dgm:cxn modelId="{3D782207-E88C-435A-9071-264F54D241DA}" type="presParOf" srcId="{15F7855E-66E8-4786-AE6B-ED135AC29465}" destId="{F640E8F6-A710-4749-A79C-5F4D43473F86}" srcOrd="1" destOrd="0" presId="urn:microsoft.com/office/officeart/2005/8/layout/hierarchy1"/>
    <dgm:cxn modelId="{54FDA7E7-BAF1-4E9D-A005-533C4061DD23}" type="presParOf" srcId="{F640E8F6-A710-4749-A79C-5F4D43473F86}" destId="{6DF8DF9E-111C-41CB-A372-858F1386EE9B}" srcOrd="0" destOrd="0" presId="urn:microsoft.com/office/officeart/2005/8/layout/hierarchy1"/>
    <dgm:cxn modelId="{867E1E3A-9292-4462-80FC-4251D6A98A4E}" type="presParOf" srcId="{F640E8F6-A710-4749-A79C-5F4D43473F86}" destId="{B6B3D6DA-C6FD-4772-9333-0DD486E7680B}" srcOrd="1" destOrd="0" presId="urn:microsoft.com/office/officeart/2005/8/layout/hierarchy1"/>
    <dgm:cxn modelId="{B89C97FF-410B-485A-8E15-29B0A9A0122C}" type="presParOf" srcId="{B6B3D6DA-C6FD-4772-9333-0DD486E7680B}" destId="{8401A3A9-F0B8-4340-9E84-8A8D9BDEB855}" srcOrd="0" destOrd="0" presId="urn:microsoft.com/office/officeart/2005/8/layout/hierarchy1"/>
    <dgm:cxn modelId="{7EF2AD3A-B0EA-4909-8D2B-C096CAA4B413}" type="presParOf" srcId="{8401A3A9-F0B8-4340-9E84-8A8D9BDEB855}" destId="{F90BE7AE-398D-4C1F-AFA9-FE305968DEEF}" srcOrd="0" destOrd="0" presId="urn:microsoft.com/office/officeart/2005/8/layout/hierarchy1"/>
    <dgm:cxn modelId="{CC6AFC58-7A41-4B52-9709-B23252E8547C}" type="presParOf" srcId="{8401A3A9-F0B8-4340-9E84-8A8D9BDEB855}" destId="{906E8348-683E-4928-9AFD-2CEF956DACF6}" srcOrd="1" destOrd="0" presId="urn:microsoft.com/office/officeart/2005/8/layout/hierarchy1"/>
    <dgm:cxn modelId="{6418F458-FD1E-4ED4-8DE7-C78EAAD3F78F}" type="presParOf" srcId="{B6B3D6DA-C6FD-4772-9333-0DD486E7680B}" destId="{1857B33C-F1DC-493E-B1FF-E7E781F8D1E8}" srcOrd="1" destOrd="0" presId="urn:microsoft.com/office/officeart/2005/8/layout/hierarchy1"/>
    <dgm:cxn modelId="{996B7E94-B3EA-402B-8E86-F6FAFE9A156B}" type="presParOf" srcId="{F640E8F6-A710-4749-A79C-5F4D43473F86}" destId="{25B3FE7A-FC67-4C1B-BC09-A77599842990}" srcOrd="2" destOrd="0" presId="urn:microsoft.com/office/officeart/2005/8/layout/hierarchy1"/>
    <dgm:cxn modelId="{545B29C7-2CAD-4B69-9109-2AAF2118CEA1}" type="presParOf" srcId="{F640E8F6-A710-4749-A79C-5F4D43473F86}" destId="{06FEFD90-2E3E-47D9-8BF8-B206984DC015}" srcOrd="3" destOrd="0" presId="urn:microsoft.com/office/officeart/2005/8/layout/hierarchy1"/>
    <dgm:cxn modelId="{BEF1E7E9-13E6-472B-84AC-D00BAB43B10D}" type="presParOf" srcId="{06FEFD90-2E3E-47D9-8BF8-B206984DC015}" destId="{7777063C-B2FC-40B0-B873-3C0B0485EA17}" srcOrd="0" destOrd="0" presId="urn:microsoft.com/office/officeart/2005/8/layout/hierarchy1"/>
    <dgm:cxn modelId="{5AA90B12-F492-4F05-A62D-F991A07692BC}" type="presParOf" srcId="{7777063C-B2FC-40B0-B873-3C0B0485EA17}" destId="{F40A860C-06F6-4587-814F-A4D3901C5215}" srcOrd="0" destOrd="0" presId="urn:microsoft.com/office/officeart/2005/8/layout/hierarchy1"/>
    <dgm:cxn modelId="{827E1B42-0CEC-4763-9D62-20F62D2FFB2D}" type="presParOf" srcId="{7777063C-B2FC-40B0-B873-3C0B0485EA17}" destId="{DEEDAF97-CC0D-4CDD-87D8-7A441E9C1545}" srcOrd="1" destOrd="0" presId="urn:microsoft.com/office/officeart/2005/8/layout/hierarchy1"/>
    <dgm:cxn modelId="{3927181F-F715-4F62-8F3E-3B75627B2CB1}" type="presParOf" srcId="{06FEFD90-2E3E-47D9-8BF8-B206984DC015}" destId="{E310F887-7220-4650-A34D-0263B963F996}" srcOrd="1" destOrd="0" presId="urn:microsoft.com/office/officeart/2005/8/layout/hierarchy1"/>
  </dgm:cxnLst>
  <dgm:bg>
    <a:noFill/>
  </dgm:bg>
  <dgm:whole>
    <a:ln>
      <a:noFill/>
    </a:ln>
  </dgm:whole>
  <dgm:extLst>
    <a:ext uri="http://schemas.microsoft.com/office/drawing/2008/diagram">
      <dsp:dataModelExt xmlns:dsp="http://schemas.microsoft.com/office/drawing/2008/diagram" relId="rId9"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5B3FE7A-FC67-4C1B-BC09-A77599842990}">
      <dsp:nvSpPr>
        <dsp:cNvPr id="0" name=""/>
        <dsp:cNvSpPr/>
      </dsp:nvSpPr>
      <dsp:spPr>
        <a:xfrm>
          <a:off x="4942616" y="3204834"/>
          <a:ext cx="1624845" cy="582585"/>
        </a:xfrm>
        <a:custGeom>
          <a:avLst/>
          <a:gdLst/>
          <a:ahLst/>
          <a:cxnLst/>
          <a:rect l="0" t="0" r="0" b="0"/>
          <a:pathLst>
            <a:path>
              <a:moveTo>
                <a:pt x="0" y="0"/>
              </a:moveTo>
              <a:lnTo>
                <a:pt x="0" y="397015"/>
              </a:lnTo>
              <a:lnTo>
                <a:pt x="1624845" y="397015"/>
              </a:lnTo>
              <a:lnTo>
                <a:pt x="1624845" y="582585"/>
              </a:lnTo>
            </a:path>
          </a:pathLst>
        </a:custGeom>
        <a:noFill/>
        <a:ln w="25400">
          <a:solidFill>
            <a:schemeClr val="dk2">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DF8DF9E-111C-41CB-A372-858F1386EE9B}">
      <dsp:nvSpPr>
        <dsp:cNvPr id="0" name=""/>
        <dsp:cNvSpPr/>
      </dsp:nvSpPr>
      <dsp:spPr>
        <a:xfrm>
          <a:off x="3317771" y="3204834"/>
          <a:ext cx="1624845" cy="582585"/>
        </a:xfrm>
        <a:custGeom>
          <a:avLst/>
          <a:gdLst/>
          <a:ahLst/>
          <a:cxnLst/>
          <a:rect l="0" t="0" r="0" b="0"/>
          <a:pathLst>
            <a:path>
              <a:moveTo>
                <a:pt x="1624845" y="0"/>
              </a:moveTo>
              <a:lnTo>
                <a:pt x="1624845" y="397015"/>
              </a:lnTo>
              <a:lnTo>
                <a:pt x="0" y="397015"/>
              </a:lnTo>
              <a:lnTo>
                <a:pt x="0" y="582585"/>
              </a:lnTo>
            </a:path>
          </a:pathLst>
        </a:custGeom>
        <a:noFill/>
        <a:ln w="25400">
          <a:solidFill>
            <a:schemeClr val="dk2">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2BDA0B5-905B-4558-9FBF-F9EA38E96D85}">
      <dsp:nvSpPr>
        <dsp:cNvPr id="0" name=""/>
        <dsp:cNvSpPr/>
      </dsp:nvSpPr>
      <dsp:spPr>
        <a:xfrm>
          <a:off x="3222912" y="1350242"/>
          <a:ext cx="1719704" cy="582585"/>
        </a:xfrm>
        <a:custGeom>
          <a:avLst/>
          <a:gdLst/>
          <a:ahLst/>
          <a:cxnLst/>
          <a:rect l="0" t="0" r="0" b="0"/>
          <a:pathLst>
            <a:path>
              <a:moveTo>
                <a:pt x="0" y="0"/>
              </a:moveTo>
              <a:lnTo>
                <a:pt x="0" y="397015"/>
              </a:lnTo>
              <a:lnTo>
                <a:pt x="1719704" y="397015"/>
              </a:lnTo>
              <a:lnTo>
                <a:pt x="1719704" y="582585"/>
              </a:lnTo>
            </a:path>
          </a:pathLst>
        </a:custGeom>
        <a:noFill/>
        <a:ln w="25400">
          <a:solidFill>
            <a:schemeClr val="dk2">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151EDEB-B9C6-4F44-978E-B97A8761F7EC}">
      <dsp:nvSpPr>
        <dsp:cNvPr id="0" name=""/>
        <dsp:cNvSpPr/>
      </dsp:nvSpPr>
      <dsp:spPr>
        <a:xfrm>
          <a:off x="1503207" y="1350242"/>
          <a:ext cx="1719704" cy="582585"/>
        </a:xfrm>
        <a:custGeom>
          <a:avLst/>
          <a:gdLst/>
          <a:ahLst/>
          <a:cxnLst/>
          <a:rect l="0" t="0" r="0" b="0"/>
          <a:pathLst>
            <a:path>
              <a:moveTo>
                <a:pt x="1719704" y="0"/>
              </a:moveTo>
              <a:lnTo>
                <a:pt x="1719704" y="397015"/>
              </a:lnTo>
              <a:lnTo>
                <a:pt x="0" y="397015"/>
              </a:lnTo>
              <a:lnTo>
                <a:pt x="0" y="582585"/>
              </a:lnTo>
            </a:path>
          </a:pathLst>
        </a:custGeom>
        <a:noFill/>
        <a:ln w="25400">
          <a:solidFill>
            <a:schemeClr val="dk2">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1AC689A-0DF6-4619-ACF5-CEF61FDBB925}">
      <dsp:nvSpPr>
        <dsp:cNvPr id="0" name=""/>
        <dsp:cNvSpPr/>
      </dsp:nvSpPr>
      <dsp:spPr>
        <a:xfrm>
          <a:off x="1934479" y="78236"/>
          <a:ext cx="2576864" cy="1272006"/>
        </a:xfrm>
        <a:prstGeom prst="roundRect">
          <a:avLst>
            <a:gd name="adj" fmla="val 10000"/>
          </a:avLst>
        </a:prstGeom>
        <a:solidFill>
          <a:schemeClr val="tx2"/>
        </a:solidFill>
        <a:ln w="25400">
          <a:solidFill>
            <a:schemeClr val="lt2">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49B7F0C2-2BB6-4FAA-B355-FD53F396369D}">
      <dsp:nvSpPr>
        <dsp:cNvPr id="0" name=""/>
        <dsp:cNvSpPr/>
      </dsp:nvSpPr>
      <dsp:spPr>
        <a:xfrm>
          <a:off x="2157053" y="289680"/>
          <a:ext cx="2576864" cy="1272006"/>
        </a:xfrm>
        <a:prstGeom prst="roundRect">
          <a:avLst>
            <a:gd name="adj" fmla="val 10000"/>
          </a:avLst>
        </a:prstGeom>
        <a:solidFill>
          <a:schemeClr val="bg1">
            <a:alpha val="90000"/>
          </a:schemeClr>
        </a:solidFill>
        <a:ln w="25400">
          <a:solidFill>
            <a:schemeClr val="dk2">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latin typeface="Open Sans" panose="020B0606030504020204" pitchFamily="34" charset="0"/>
              <a:ea typeface="Open Sans" panose="020B0606030504020204" pitchFamily="34" charset="0"/>
              <a:cs typeface="Open Sans" panose="020B0606030504020204" pitchFamily="34" charset="0"/>
            </a:rPr>
            <a:t>China Market Contraction &amp; Competitive Pressure </a:t>
          </a:r>
        </a:p>
        <a:p>
          <a:pPr marL="0" lvl="0" indent="0" algn="ctr" defTabSz="666750">
            <a:lnSpc>
              <a:spcPct val="90000"/>
            </a:lnSpc>
            <a:spcBef>
              <a:spcPct val="0"/>
            </a:spcBef>
            <a:spcAft>
              <a:spcPct val="35000"/>
            </a:spcAft>
            <a:buNone/>
          </a:pPr>
          <a:r>
            <a:rPr lang="en-US" sz="1500" b="1" kern="1200">
              <a:solidFill>
                <a:srgbClr val="C00000"/>
              </a:solidFill>
              <a:latin typeface="Open Sans" panose="020B0606030504020204" pitchFamily="34" charset="0"/>
              <a:ea typeface="Open Sans" panose="020B0606030504020204" pitchFamily="34" charset="0"/>
              <a:cs typeface="Open Sans" panose="020B0606030504020204" pitchFamily="34" charset="0"/>
            </a:rPr>
            <a:t>(-19.2% Unit Volume)</a:t>
          </a:r>
        </a:p>
      </dsp:txBody>
      <dsp:txXfrm>
        <a:off x="2194309" y="326936"/>
        <a:ext cx="2502352" cy="1197494"/>
      </dsp:txXfrm>
    </dsp:sp>
    <dsp:sp modelId="{77AAC3C8-720D-4D98-9A09-9EA18A0A3089}">
      <dsp:nvSpPr>
        <dsp:cNvPr id="0" name=""/>
        <dsp:cNvSpPr/>
      </dsp:nvSpPr>
      <dsp:spPr>
        <a:xfrm>
          <a:off x="6075" y="1932828"/>
          <a:ext cx="2994262" cy="1272006"/>
        </a:xfrm>
        <a:prstGeom prst="roundRect">
          <a:avLst>
            <a:gd name="adj" fmla="val 10000"/>
          </a:avLst>
        </a:prstGeom>
        <a:solidFill>
          <a:schemeClr val="tx2"/>
        </a:solidFill>
        <a:ln w="25400">
          <a:solidFill>
            <a:schemeClr val="lt2">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90DE3610-05D2-407B-8310-0140F53FC1CE}">
      <dsp:nvSpPr>
        <dsp:cNvPr id="0" name=""/>
        <dsp:cNvSpPr/>
      </dsp:nvSpPr>
      <dsp:spPr>
        <a:xfrm>
          <a:off x="228649" y="2144272"/>
          <a:ext cx="2994262" cy="1272006"/>
        </a:xfrm>
        <a:prstGeom prst="roundRect">
          <a:avLst>
            <a:gd name="adj" fmla="val 10000"/>
          </a:avLst>
        </a:prstGeom>
        <a:solidFill>
          <a:schemeClr val="bg1">
            <a:alpha val="90000"/>
          </a:schemeClr>
        </a:solidFill>
        <a:ln w="25400">
          <a:solidFill>
            <a:schemeClr val="dk2">
              <a:hueOff val="0"/>
              <a:satOff val="0"/>
              <a:lumOff val="0"/>
              <a:alpha val="9800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latin typeface="Open Sans" panose="020B0606030504020204" pitchFamily="34" charset="0"/>
              <a:ea typeface="Open Sans" panose="020B0606030504020204" pitchFamily="34" charset="0"/>
              <a:cs typeface="Open Sans" panose="020B0606030504020204" pitchFamily="34" charset="0"/>
            </a:rPr>
            <a:t>Lower Cars Unit Sales &amp; Weaker Mix &amp; Pricing</a:t>
          </a:r>
        </a:p>
      </dsp:txBody>
      <dsp:txXfrm>
        <a:off x="265905" y="2181528"/>
        <a:ext cx="2919750" cy="1197494"/>
      </dsp:txXfrm>
    </dsp:sp>
    <dsp:sp modelId="{E7D2CE72-771C-4D82-869D-F994560AC5C0}">
      <dsp:nvSpPr>
        <dsp:cNvPr id="0" name=""/>
        <dsp:cNvSpPr/>
      </dsp:nvSpPr>
      <dsp:spPr>
        <a:xfrm>
          <a:off x="3445485" y="1932828"/>
          <a:ext cx="2994262" cy="1272006"/>
        </a:xfrm>
        <a:prstGeom prst="roundRect">
          <a:avLst>
            <a:gd name="adj" fmla="val 10000"/>
          </a:avLst>
        </a:prstGeom>
        <a:solidFill>
          <a:schemeClr val="tx2"/>
        </a:solidFill>
        <a:ln w="25400">
          <a:solidFill>
            <a:schemeClr val="lt2">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5E4E0EC6-BDB7-42D9-8496-DBCB6A36C1B1}">
      <dsp:nvSpPr>
        <dsp:cNvPr id="0" name=""/>
        <dsp:cNvSpPr/>
      </dsp:nvSpPr>
      <dsp:spPr>
        <a:xfrm>
          <a:off x="3668058" y="2144272"/>
          <a:ext cx="2994262" cy="1272006"/>
        </a:xfrm>
        <a:prstGeom prst="roundRect">
          <a:avLst>
            <a:gd name="adj" fmla="val 10000"/>
          </a:avLst>
        </a:prstGeom>
        <a:solidFill>
          <a:schemeClr val="bg1">
            <a:alpha val="90000"/>
          </a:schemeClr>
        </a:solidFill>
        <a:ln w="25400">
          <a:solidFill>
            <a:schemeClr val="dk2">
              <a:hueOff val="0"/>
              <a:satOff val="0"/>
              <a:lumOff val="0"/>
              <a:alpha val="9800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latin typeface="Open Sans" panose="020B0606030504020204" pitchFamily="34" charset="0"/>
              <a:ea typeface="Open Sans" panose="020B0606030504020204" pitchFamily="34" charset="0"/>
              <a:cs typeface="Open Sans" panose="020B0606030504020204" pitchFamily="34" charset="0"/>
            </a:rPr>
            <a:t>Lower BBAC-Related Contribution</a:t>
          </a:r>
        </a:p>
      </dsp:txBody>
      <dsp:txXfrm>
        <a:off x="3705314" y="2181528"/>
        <a:ext cx="2919750" cy="1197494"/>
      </dsp:txXfrm>
    </dsp:sp>
    <dsp:sp modelId="{F90BE7AE-398D-4C1F-AFA9-FE305968DEEF}">
      <dsp:nvSpPr>
        <dsp:cNvPr id="0" name=""/>
        <dsp:cNvSpPr/>
      </dsp:nvSpPr>
      <dsp:spPr>
        <a:xfrm>
          <a:off x="1915499" y="3787419"/>
          <a:ext cx="2804543" cy="1272006"/>
        </a:xfrm>
        <a:prstGeom prst="roundRect">
          <a:avLst>
            <a:gd name="adj" fmla="val 10000"/>
          </a:avLst>
        </a:prstGeom>
        <a:solidFill>
          <a:schemeClr val="dk2">
            <a:hueOff val="0"/>
            <a:satOff val="0"/>
            <a:lumOff val="0"/>
            <a:alphaOff val="0"/>
          </a:schemeClr>
        </a:solidFill>
        <a:ln w="25400">
          <a:solidFill>
            <a:schemeClr val="lt2">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906E8348-683E-4928-9AFD-2CEF956DACF6}">
      <dsp:nvSpPr>
        <dsp:cNvPr id="0" name=""/>
        <dsp:cNvSpPr/>
      </dsp:nvSpPr>
      <dsp:spPr>
        <a:xfrm>
          <a:off x="2138073" y="3998864"/>
          <a:ext cx="2804543" cy="1272006"/>
        </a:xfrm>
        <a:prstGeom prst="roundRect">
          <a:avLst>
            <a:gd name="adj" fmla="val 10000"/>
          </a:avLst>
        </a:prstGeom>
        <a:solidFill>
          <a:schemeClr val="bg1">
            <a:alpha val="90000"/>
          </a:schemeClr>
        </a:solidFill>
        <a:ln w="25400">
          <a:solidFill>
            <a:schemeClr val="dk2">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latin typeface="Open Sans" panose="020B0606030504020204" pitchFamily="34" charset="0"/>
              <a:ea typeface="Open Sans" panose="020B0606030504020204" pitchFamily="34" charset="0"/>
              <a:cs typeface="Open Sans" panose="020B0606030504020204" pitchFamily="34" charset="0"/>
            </a:rPr>
            <a:t>Component Business (Consolidated Revenue)</a:t>
          </a:r>
        </a:p>
      </dsp:txBody>
      <dsp:txXfrm>
        <a:off x="2175329" y="4036120"/>
        <a:ext cx="2730031" cy="1197494"/>
      </dsp:txXfrm>
    </dsp:sp>
    <dsp:sp modelId="{F40A860C-06F6-4587-814F-A4D3901C5215}">
      <dsp:nvSpPr>
        <dsp:cNvPr id="0" name=""/>
        <dsp:cNvSpPr/>
      </dsp:nvSpPr>
      <dsp:spPr>
        <a:xfrm>
          <a:off x="5165190" y="3787419"/>
          <a:ext cx="2804543" cy="1272006"/>
        </a:xfrm>
        <a:prstGeom prst="roundRect">
          <a:avLst>
            <a:gd name="adj" fmla="val 10000"/>
          </a:avLst>
        </a:prstGeom>
        <a:solidFill>
          <a:schemeClr val="tx2"/>
        </a:solidFill>
        <a:ln w="25400">
          <a:solidFill>
            <a:schemeClr val="lt2">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DEEDAF97-CC0D-4CDD-87D8-7A441E9C1545}">
      <dsp:nvSpPr>
        <dsp:cNvPr id="0" name=""/>
        <dsp:cNvSpPr/>
      </dsp:nvSpPr>
      <dsp:spPr>
        <a:xfrm>
          <a:off x="5387763" y="3998864"/>
          <a:ext cx="2804543" cy="1272006"/>
        </a:xfrm>
        <a:prstGeom prst="roundRect">
          <a:avLst>
            <a:gd name="adj" fmla="val 10000"/>
          </a:avLst>
        </a:prstGeom>
        <a:solidFill>
          <a:schemeClr val="bg1">
            <a:alpha val="90000"/>
          </a:schemeClr>
        </a:solidFill>
        <a:ln w="25400">
          <a:solidFill>
            <a:schemeClr val="dk2">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latin typeface="Open Sans" panose="020B0606030504020204" pitchFamily="34" charset="0"/>
              <a:ea typeface="Open Sans" panose="020B0606030504020204" pitchFamily="34" charset="0"/>
              <a:cs typeface="Open Sans" panose="020B0606030504020204" pitchFamily="34" charset="0"/>
            </a:rPr>
            <a:t>BBAC Equity-Method Earnings</a:t>
          </a:r>
        </a:p>
        <a:p>
          <a:pPr marL="0" lvl="0" indent="0" algn="ctr" defTabSz="666750">
            <a:lnSpc>
              <a:spcPct val="90000"/>
            </a:lnSpc>
            <a:spcBef>
              <a:spcPct val="0"/>
            </a:spcBef>
            <a:spcAft>
              <a:spcPct val="35000"/>
            </a:spcAft>
            <a:buNone/>
          </a:pPr>
          <a:r>
            <a:rPr lang="en-US" sz="1500" b="1" kern="1200">
              <a:solidFill>
                <a:srgbClr val="C00000"/>
              </a:solidFill>
              <a:latin typeface="Open Sans" panose="020B0606030504020204" pitchFamily="34" charset="0"/>
              <a:ea typeface="Open Sans" panose="020B0606030504020204" pitchFamily="34" charset="0"/>
              <a:cs typeface="Open Sans" panose="020B0606030504020204" pitchFamily="34" charset="0"/>
            </a:rPr>
            <a:t>(-€312m Adjusted EBIT)</a:t>
          </a:r>
        </a:p>
      </dsp:txBody>
      <dsp:txXfrm>
        <a:off x="5425019" y="4036120"/>
        <a:ext cx="2730031" cy="1197494"/>
      </dsp:txXfrm>
    </dsp:sp>
  </dsp:spTree>
</dsp:drawing>
</file>

<file path=xl/diagrams/layout1.xml><?xml version="1.0" encoding="utf-8"?>
<dgm:layoutDef xmlns:dgm="http://schemas.openxmlformats.org/drawingml/2006/diagram" xmlns:a="http://schemas.openxmlformats.org/drawingml/2006/main" uniqueId="urn:microsoft.com/office/officeart/2005/8/layout/hierarchy1">
  <dgm:title val=""/>
  <dgm:desc val=""/>
  <dgm:catLst>
    <dgm:cat type="hierarchy" pri="2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hierChild1">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ptType="node" op="equ" val="65"/>
      <dgm:constr type="w" for="des" forName="composite" refType="w"/>
      <dgm:constr type="h" for="des" forName="composite" refType="w" refFor="des" refForName="composite" fact="0.667"/>
      <dgm:constr type="w" for="des" forName="composite2" refType="w" refFor="des" refForName="composite"/>
      <dgm:constr type="h" for="des" forName="composite2" refType="h" refFor="des" refForName="composite"/>
      <dgm:constr type="w" for="des" forName="composite3" refType="w" refFor="des" refForName="composite"/>
      <dgm:constr type="h" for="des" forName="composite3" refType="h" refFor="des" refForName="composite"/>
      <dgm:constr type="w" for="des" forName="composite4" refType="w" refFor="des" refForName="composite"/>
      <dgm:constr type="h" for="des" forName="composite4" refType="h" refFor="des" refForName="composite"/>
      <dgm:constr type="w" for="des" forName="composite5" refType="w" refFor="des" refForName="composite"/>
      <dgm:constr type="h" for="des" forName="composite5" refType="h" refFor="des" refForName="composite"/>
      <dgm:constr type="sibSp" refType="w" refFor="des" refForName="composite" fact="0.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p" for="des" forName="hierRoot1" refType="h" refFor="des" refForName="composite" fact="0.25"/>
      <dgm:constr type="sp" for="des" forName="hierRoot2" refType="sp" refFor="des" refForName="hierRoot1"/>
      <dgm:constr type="sp" for="des" forName="hierRoot3" refType="sp" refFor="des" refForName="hierRoot1"/>
      <dgm:constr type="sp" for="des" forName="hierRoot4" refType="sp" refFor="des" refForName="hierRoot1"/>
      <dgm:constr type="sp" for="des" forName="hierRoot5" refType="sp" refFor="des" refForName="hierRoot1"/>
    </dgm:constrLst>
    <dgm:ruleLst/>
    <dgm:forEach name="Name3" axis="ch">
      <dgm:forEach name="Name4" axis="self" ptType="node">
        <dgm:layoutNode name="hierRoot1">
          <dgm:alg type="hierRoot"/>
          <dgm:shape xmlns:r="http://schemas.openxmlformats.org/officeDocument/2006/relationships" r:blip="">
            <dgm:adjLst/>
          </dgm:shape>
          <dgm:presOf/>
          <dgm:constrLst>
            <dgm:constr type="bendDist" for="des" ptType="parTrans" refType="sp" fact="0.5"/>
          </dgm:constrLst>
          <dgm:ruleLst/>
          <dgm:layoutNode name="composite">
            <dgm:alg type="composite"/>
            <dgm:shape xmlns:r="http://schemas.openxmlformats.org/officeDocument/2006/relationships" r:blip="">
              <dgm:adjLst/>
            </dgm:shape>
            <dgm:presOf/>
            <dgm:constrLst>
              <dgm:constr type="w" for="ch" forName="background" refType="w" fact="0.9"/>
              <dgm:constr type="h" for="ch" forName="background" refType="w" refFor="ch" refForName="background" fact="0.635"/>
              <dgm:constr type="t" for="ch" forName="background"/>
              <dgm:constr type="l" for="ch" forName="background"/>
              <dgm:constr type="w" for="ch" forName="text" refType="w" fact="0.9"/>
              <dgm:constr type="h" for="ch" forName="text" refType="w" refFor="ch" refForName="text" fact="0.635"/>
              <dgm:constr type="t" for="ch" forName="text" refType="w" fact="0.095"/>
              <dgm:constr type="l" for="ch" forName="text" refType="w" fact="0.1"/>
            </dgm:constrLst>
            <dgm:ruleLst/>
            <dgm:layoutNode name="background" styleLbl="node0" moveWith="text">
              <dgm:alg type="sp"/>
              <dgm:shape xmlns:r="http://schemas.openxmlformats.org/officeDocument/2006/relationships" type="roundRect" r:blip="">
                <dgm:adjLst>
                  <dgm:adj idx="1" val="0.1"/>
                </dgm:adjLst>
              </dgm:shape>
              <dgm:presOf/>
              <dgm:constrLst/>
              <dgm:ruleLst/>
            </dgm:layoutNode>
            <dgm:layoutNode name="text" styleLbl="fgAcc0">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2">
            <dgm:choose name="Name5">
              <dgm:if name="Name6" func="var" arg="dir" op="equ" val="norm">
                <dgm:alg type="hierChild">
                  <dgm:param type="linDir" val="fromL"/>
                </dgm:alg>
              </dgm:if>
              <dgm:else name="Name7">
                <dgm:alg type="hierChild">
                  <dgm:param type="linDir" val="fromR"/>
                </dgm:alg>
              </dgm:else>
            </dgm:choose>
            <dgm:shape xmlns:r="http://schemas.openxmlformats.org/officeDocument/2006/relationships" r:blip="">
              <dgm:adjLst/>
            </dgm:shape>
            <dgm:presOf/>
            <dgm:constrLst/>
            <dgm:ruleLst/>
            <dgm:forEach name="Name8" axis="ch">
              <dgm:forEach name="Name9" axis="self" ptType="parTrans" cnt="1">
                <dgm:layoutNode name="Name10">
                  <dgm:alg type="conn">
                    <dgm:param type="dim" val="1D"/>
                    <dgm:param type="endSty" val="noArr"/>
                    <dgm:param type="connRout" val="bend"/>
                    <dgm:param type="bendPt" val="end"/>
                    <dgm:param type="begPts" val="bCtr"/>
                    <dgm:param type="endPts" val="tCtr"/>
                    <dgm:param type="srcNode" val="background"/>
                    <dgm:param type="dstNode" val="background2"/>
                  </dgm:alg>
                  <dgm:shape xmlns:r="http://schemas.openxmlformats.org/officeDocument/2006/relationships" type="conn" r:blip="" zOrderOff="-999">
                    <dgm:adjLst/>
                  </dgm:shape>
                  <dgm:presOf axis="self"/>
                  <dgm:constrLst>
                    <dgm:constr type="begPad"/>
                    <dgm:constr type="endPad"/>
                  </dgm:constrLst>
                  <dgm:ruleLst/>
                </dgm:layoutNode>
              </dgm:forEach>
              <dgm:forEach name="Name11" axis="self" ptType="node">
                <dgm:layoutNode name="hierRoot2">
                  <dgm:alg type="hierRoot"/>
                  <dgm:shape xmlns:r="http://schemas.openxmlformats.org/officeDocument/2006/relationships" r:blip="">
                    <dgm:adjLst/>
                  </dgm:shape>
                  <dgm:presOf/>
                  <dgm:constrLst>
                    <dgm:constr type="bendDist" for="des" ptType="parTrans" refType="sp" fact="0.5"/>
                  </dgm:constrLst>
                  <dgm:ruleLst/>
                  <dgm:layoutNode name="composite2">
                    <dgm:alg type="composite"/>
                    <dgm:shape xmlns:r="http://schemas.openxmlformats.org/officeDocument/2006/relationships" r:blip="">
                      <dgm:adjLst/>
                    </dgm:shape>
                    <dgm:presOf/>
                    <dgm:constrLst>
                      <dgm:constr type="w" for="ch" forName="background2" refType="w" fact="0.9"/>
                      <dgm:constr type="h" for="ch" forName="background2" refType="w" refFor="ch" refForName="background2" fact="0.635"/>
                      <dgm:constr type="t" for="ch" forName="background2"/>
                      <dgm:constr type="l" for="ch" forName="background2"/>
                      <dgm:constr type="w" for="ch" forName="text2" refType="w" fact="0.9"/>
                      <dgm:constr type="h" for="ch" forName="text2" refType="w" refFor="ch" refForName="text2" fact="0.635"/>
                      <dgm:constr type="t" for="ch" forName="text2" refType="w" fact="0.095"/>
                      <dgm:constr type="l" for="ch" forName="text2" refType="w" fact="0.1"/>
                    </dgm:constrLst>
                    <dgm:ruleLst/>
                    <dgm:layoutNode name="background2" moveWith="text2">
                      <dgm:alg type="sp"/>
                      <dgm:shape xmlns:r="http://schemas.openxmlformats.org/officeDocument/2006/relationships" type="roundRect" r:blip="">
                        <dgm:adjLst>
                          <dgm:adj idx="1" val="0.1"/>
                        </dgm:adjLst>
                      </dgm:shape>
                      <dgm:presOf/>
                      <dgm:constrLst/>
                      <dgm:ruleLst/>
                    </dgm:layoutNode>
                    <dgm:layoutNode name="text2" styleLbl="fgAcc2">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3">
                    <dgm:choose name="Name12">
                      <dgm:if name="Name13" func="var" arg="dir" op="equ" val="norm">
                        <dgm:alg type="hierChild">
                          <dgm:param type="linDir" val="fromL"/>
                        </dgm:alg>
                      </dgm:if>
                      <dgm:else name="Name14">
                        <dgm:alg type="hierChild">
                          <dgm:param type="linDir" val="fromR"/>
                        </dgm:alg>
                      </dgm:else>
                    </dgm:choose>
                    <dgm:shape xmlns:r="http://schemas.openxmlformats.org/officeDocument/2006/relationships" r:blip="">
                      <dgm:adjLst/>
                    </dgm:shape>
                    <dgm:presOf/>
                    <dgm:constrLst/>
                    <dgm:ruleLst/>
                    <dgm:forEach name="Name15" axis="ch">
                      <dgm:forEach name="Name16" axis="self" ptType="parTrans" cnt="1">
                        <dgm:layoutNode name="Name17">
                          <dgm:alg type="conn">
                            <dgm:param type="dim" val="1D"/>
                            <dgm:param type="endSty" val="noArr"/>
                            <dgm:param type="connRout" val="bend"/>
                            <dgm:param type="bendPt" val="end"/>
                            <dgm:param type="begPts" val="bCtr"/>
                            <dgm:param type="endPts" val="tCtr"/>
                            <dgm:param type="srcNode" val="background2"/>
                            <dgm:param type="dstNode" val="background3"/>
                          </dgm:alg>
                          <dgm:shape xmlns:r="http://schemas.openxmlformats.org/officeDocument/2006/relationships" type="conn" r:blip="" zOrderOff="-999">
                            <dgm:adjLst/>
                          </dgm:shape>
                          <dgm:presOf axis="self"/>
                          <dgm:constrLst>
                            <dgm:constr type="begPad"/>
                            <dgm:constr type="endPad"/>
                          </dgm:constrLst>
                          <dgm:ruleLst/>
                        </dgm:layoutNode>
                      </dgm:forEach>
                      <dgm:forEach name="Name18" axis="self" ptType="node">
                        <dgm:layoutNode name="hierRoot3">
                          <dgm:alg type="hierRoot"/>
                          <dgm:shape xmlns:r="http://schemas.openxmlformats.org/officeDocument/2006/relationships" r:blip="">
                            <dgm:adjLst/>
                          </dgm:shape>
                          <dgm:presOf/>
                          <dgm:constrLst>
                            <dgm:constr type="bendDist" for="des" ptType="parTrans" refType="sp" fact="0.5"/>
                          </dgm:constrLst>
                          <dgm:ruleLst/>
                          <dgm:layoutNode name="composite3">
                            <dgm:alg type="composite"/>
                            <dgm:shape xmlns:r="http://schemas.openxmlformats.org/officeDocument/2006/relationships" r:blip="">
                              <dgm:adjLst/>
                            </dgm:shape>
                            <dgm:presOf/>
                            <dgm:constrLst>
                              <dgm:constr type="w" for="ch" forName="background3" refType="w" fact="0.9"/>
                              <dgm:constr type="h" for="ch" forName="background3" refType="w" refFor="ch" refForName="background3" fact="0.635"/>
                              <dgm:constr type="t" for="ch" forName="background3"/>
                              <dgm:constr type="l" for="ch" forName="background3"/>
                              <dgm:constr type="w" for="ch" forName="text3" refType="w" fact="0.9"/>
                              <dgm:constr type="h" for="ch" forName="text3" refType="w" refFor="ch" refForName="text3" fact="0.635"/>
                              <dgm:constr type="t" for="ch" forName="text3" refType="w" fact="0.095"/>
                              <dgm:constr type="l" for="ch" forName="text3" refType="w" fact="0.1"/>
                            </dgm:constrLst>
                            <dgm:ruleLst/>
                            <dgm:layoutNode name="background3" moveWith="text3">
                              <dgm:alg type="sp"/>
                              <dgm:shape xmlns:r="http://schemas.openxmlformats.org/officeDocument/2006/relationships" type="roundRect" r:blip="">
                                <dgm:adjLst>
                                  <dgm:adj idx="1" val="0.1"/>
                                </dgm:adjLst>
                              </dgm:shape>
                              <dgm:presOf/>
                              <dgm:constrLst/>
                              <dgm:ruleLst/>
                            </dgm:layoutNode>
                            <dgm:layoutNode name="text3" styleLbl="fgAcc3">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4">
                            <dgm:choose name="Name19">
                              <dgm:if name="Name20" func="var" arg="dir" op="equ" val="norm">
                                <dgm:alg type="hierChild">
                                  <dgm:param type="linDir" val="fromL"/>
                                </dgm:alg>
                              </dgm:if>
                              <dgm:else name="Name21">
                                <dgm:alg type="hierChild">
                                  <dgm:param type="linDir" val="fromR"/>
                                </dgm:alg>
                              </dgm:else>
                            </dgm:choose>
                            <dgm:shape xmlns:r="http://schemas.openxmlformats.org/officeDocument/2006/relationships" r:blip="">
                              <dgm:adjLst/>
                            </dgm:shape>
                            <dgm:presOf/>
                            <dgm:constrLst/>
                            <dgm:ruleLst/>
                            <dgm:forEach name="repeat" axis="ch">
                              <dgm:forEach name="Name22" axis="self" ptType="parTrans" cnt="1">
                                <dgm:layoutNode name="Name23">
                                  <dgm:choose name="Name24">
                                    <dgm:if name="Name25" axis="self" func="depth" op="lte" val="4">
                                      <dgm:alg type="conn">
                                        <dgm:param type="dim" val="1D"/>
                                        <dgm:param type="endSty" val="noArr"/>
                                        <dgm:param type="connRout" val="bend"/>
                                        <dgm:param type="bendPt" val="end"/>
                                        <dgm:param type="begPts" val="bCtr"/>
                                        <dgm:param type="endPts" val="tCtr"/>
                                        <dgm:param type="srcNode" val="background3"/>
                                        <dgm:param type="dstNode" val="background4"/>
                                      </dgm:alg>
                                    </dgm:if>
                                    <dgm:else name="Name26">
                                      <dgm:alg type="conn">
                                        <dgm:param type="dim" val="1D"/>
                                        <dgm:param type="endSty" val="noArr"/>
                                        <dgm:param type="connRout" val="bend"/>
                                        <dgm:param type="bendPt" val="end"/>
                                        <dgm:param type="begPts" val="bCtr"/>
                                        <dgm:param type="endPts" val="tCtr"/>
                                        <dgm:param type="srcNode" val="background4"/>
                                        <dgm:param type="dstNode" val="background4"/>
                                      </dgm:alg>
                                    </dgm:else>
                                  </dgm:choose>
                                  <dgm:shape xmlns:r="http://schemas.openxmlformats.org/officeDocument/2006/relationships" type="conn" r:blip="" zOrderOff="-999">
                                    <dgm:adjLst/>
                                  </dgm:shape>
                                  <dgm:presOf axis="self"/>
                                  <dgm:constrLst>
                                    <dgm:constr type="begPad"/>
                                    <dgm:constr type="endPad"/>
                                  </dgm:constrLst>
                                  <dgm:ruleLst/>
                                </dgm:layoutNode>
                              </dgm:forEach>
                              <dgm:forEach name="Name27" axis="self" ptType="node">
                                <dgm:layoutNode name="hierRoot4">
                                  <dgm:alg type="hierRoot"/>
                                  <dgm:shape xmlns:r="http://schemas.openxmlformats.org/officeDocument/2006/relationships" r:blip="">
                                    <dgm:adjLst/>
                                  </dgm:shape>
                                  <dgm:presOf/>
                                  <dgm:constrLst>
                                    <dgm:constr type="bendDist" for="des" ptType="parTrans" refType="sp" fact="0.5"/>
                                  </dgm:constrLst>
                                  <dgm:ruleLst/>
                                  <dgm:layoutNode name="composite4">
                                    <dgm:alg type="composite"/>
                                    <dgm:shape xmlns:r="http://schemas.openxmlformats.org/officeDocument/2006/relationships" r:blip="">
                                      <dgm:adjLst/>
                                    </dgm:shape>
                                    <dgm:presOf/>
                                    <dgm:constrLst>
                                      <dgm:constr type="w" for="ch" forName="background4" refType="w" fact="0.9"/>
                                      <dgm:constr type="h" for="ch" forName="background4" refType="w" refFor="ch" refForName="background4" fact="0.635"/>
                                      <dgm:constr type="t" for="ch" forName="background4"/>
                                      <dgm:constr type="l" for="ch" forName="background4"/>
                                      <dgm:constr type="w" for="ch" forName="text4" refType="w" fact="0.9"/>
                                      <dgm:constr type="h" for="ch" forName="text4" refType="w" refFor="ch" refForName="text4" fact="0.635"/>
                                      <dgm:constr type="t" for="ch" forName="text4" refType="w" fact="0.095"/>
                                      <dgm:constr type="l" for="ch" forName="text4" refType="w" fact="0.1"/>
                                    </dgm:constrLst>
                                    <dgm:ruleLst/>
                                    <dgm:layoutNode name="background4" moveWith="text4">
                                      <dgm:alg type="sp"/>
                                      <dgm:shape xmlns:r="http://schemas.openxmlformats.org/officeDocument/2006/relationships" type="roundRect" r:blip="">
                                        <dgm:adjLst>
                                          <dgm:adj idx="1" val="0.1"/>
                                        </dgm:adjLst>
                                      </dgm:shape>
                                      <dgm:presOf/>
                                      <dgm:constrLst/>
                                      <dgm:ruleLst/>
                                    </dgm:layoutNode>
                                    <dgm:layoutNode name="text4" styleLbl="fgAcc4">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5">
                                    <dgm:choose name="Name28">
                                      <dgm:if name="Name29" func="var" arg="dir" op="equ" val="norm">
                                        <dgm:alg type="hierChild">
                                          <dgm:param type="linDir" val="fromL"/>
                                        </dgm:alg>
                                      </dgm:if>
                                      <dgm:else name="Name30">
                                        <dgm:alg type="hierChild">
                                          <dgm:param type="linDir" val="fromR"/>
                                        </dgm:alg>
                                      </dgm:else>
                                    </dgm:choose>
                                    <dgm:shape xmlns:r="http://schemas.openxmlformats.org/officeDocument/2006/relationships" r:blip="">
                                      <dgm:adjLst/>
                                    </dgm:shape>
                                    <dgm:presOf/>
                                    <dgm:constrLst/>
                                    <dgm:ruleLst/>
                                    <dgm:forEach name="Name31" ref="repeat"/>
                                  </dgm:layoutNode>
                                </dgm:layoutNode>
                              </dgm:forEach>
                            </dgm:forEach>
                          </dgm:layoutNode>
                        </dgm:layoutNode>
                      </dgm:forEach>
                    </dgm:forEach>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5.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diagramColors" Target="../diagrams/colors1.xml"/><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diagramQuickStyle" Target="../diagrams/quickStyle1.xml"/><Relationship Id="rId12" Type="http://schemas.openxmlformats.org/officeDocument/2006/relationships/chart" Target="../charts/chart14.xml"/><Relationship Id="rId2" Type="http://schemas.microsoft.com/office/2014/relationships/chartEx" Target="../charts/chartEx1.xml"/><Relationship Id="rId1" Type="http://schemas.openxmlformats.org/officeDocument/2006/relationships/image" Target="../media/image5.png"/><Relationship Id="rId6" Type="http://schemas.openxmlformats.org/officeDocument/2006/relationships/diagramLayout" Target="../diagrams/layout1.xml"/><Relationship Id="rId11" Type="http://schemas.openxmlformats.org/officeDocument/2006/relationships/chart" Target="../charts/chart13.xml"/><Relationship Id="rId5" Type="http://schemas.openxmlformats.org/officeDocument/2006/relationships/diagramData" Target="../diagrams/data1.xml"/><Relationship Id="rId10" Type="http://schemas.openxmlformats.org/officeDocument/2006/relationships/chart" Target="../charts/chart12.xml"/><Relationship Id="rId4" Type="http://schemas.openxmlformats.org/officeDocument/2006/relationships/chart" Target="../charts/chart11.xml"/><Relationship Id="rId9" Type="http://schemas.microsoft.com/office/2007/relationships/diagramDrawing" Target="../diagrams/drawing1.xml"/><Relationship Id="rId14"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695325</xdr:colOff>
      <xdr:row>1</xdr:row>
      <xdr:rowOff>9525</xdr:rowOff>
    </xdr:from>
    <xdr:to>
      <xdr:col>12</xdr:col>
      <xdr:colOff>154711</xdr:colOff>
      <xdr:row>11</xdr:row>
      <xdr:rowOff>190500</xdr:rowOff>
    </xdr:to>
    <xdr:pic>
      <xdr:nvPicPr>
        <xdr:cNvPr id="4" name="Picture 3">
          <a:extLst>
            <a:ext uri="{FF2B5EF4-FFF2-40B4-BE49-F238E27FC236}">
              <a16:creationId xmlns:a16="http://schemas.microsoft.com/office/drawing/2014/main" id="{E64F45E2-18C5-4932-A3F6-C7F574328E7C}"/>
            </a:ext>
          </a:extLst>
        </xdr:cNvPr>
        <xdr:cNvPicPr>
          <a:picLocks noChangeAspect="1"/>
        </xdr:cNvPicPr>
      </xdr:nvPicPr>
      <xdr:blipFill>
        <a:blip xmlns:r="http://schemas.openxmlformats.org/officeDocument/2006/relationships" r:embed="rId1">
          <a:alphaModFix/>
          <a:extLst>
            <a:ext uri="{28A0092B-C50C-407E-A947-70E740481C1C}">
              <a14:useLocalDpi xmlns:a14="http://schemas.microsoft.com/office/drawing/2010/main" val="0"/>
            </a:ext>
          </a:extLst>
        </a:blip>
        <a:stretch>
          <a:fillRect/>
        </a:stretch>
      </xdr:blipFill>
      <xdr:spPr>
        <a:xfrm>
          <a:off x="3152775" y="85725"/>
          <a:ext cx="6507886" cy="2505075"/>
        </a:xfrm>
        <a:prstGeom prst="rect">
          <a:avLst/>
        </a:prstGeom>
      </xdr:spPr>
    </xdr:pic>
    <xdr:clientData/>
  </xdr:twoCellAnchor>
  <xdr:twoCellAnchor editAs="oneCell">
    <xdr:from>
      <xdr:col>2</xdr:col>
      <xdr:colOff>285750</xdr:colOff>
      <xdr:row>1</xdr:row>
      <xdr:rowOff>247650</xdr:rowOff>
    </xdr:from>
    <xdr:to>
      <xdr:col>4</xdr:col>
      <xdr:colOff>158619</xdr:colOff>
      <xdr:row>9</xdr:row>
      <xdr:rowOff>152400</xdr:rowOff>
    </xdr:to>
    <xdr:pic>
      <xdr:nvPicPr>
        <xdr:cNvPr id="5" name="Picture 4">
          <a:extLst>
            <a:ext uri="{FF2B5EF4-FFF2-40B4-BE49-F238E27FC236}">
              <a16:creationId xmlns:a16="http://schemas.microsoft.com/office/drawing/2014/main" id="{C400EA0C-AF39-4278-8BF5-E742B737286A}"/>
            </a:ext>
          </a:extLst>
        </xdr:cNvPr>
        <xdr:cNvPicPr>
          <a:picLocks noChangeAspect="1"/>
        </xdr:cNvPicPr>
      </xdr:nvPicPr>
      <xdr:blipFill>
        <a:blip xmlns:r="http://schemas.openxmlformats.org/officeDocument/2006/relationships" r:embed="rId2" cstate="print">
          <a:alphaModFix amt="85000"/>
          <a:extLst>
            <a:ext uri="{28A0092B-C50C-407E-A947-70E740481C1C}">
              <a14:useLocalDpi xmlns:a14="http://schemas.microsoft.com/office/drawing/2010/main" val="0"/>
            </a:ext>
          </a:extLst>
        </a:blip>
        <a:stretch>
          <a:fillRect/>
        </a:stretch>
      </xdr:blipFill>
      <xdr:spPr>
        <a:xfrm>
          <a:off x="781050" y="323850"/>
          <a:ext cx="1835019" cy="1828800"/>
        </a:xfrm>
        <a:prstGeom prst="rect">
          <a:avLst/>
        </a:prstGeom>
      </xdr:spPr>
    </xdr:pic>
    <xdr:clientData/>
  </xdr:twoCellAnchor>
  <xdr:oneCellAnchor>
    <xdr:from>
      <xdr:col>2</xdr:col>
      <xdr:colOff>114300</xdr:colOff>
      <xdr:row>25</xdr:row>
      <xdr:rowOff>82208</xdr:rowOff>
    </xdr:from>
    <xdr:ext cx="8734425" cy="1768946"/>
    <xdr:sp macro="" textlink="">
      <xdr:nvSpPr>
        <xdr:cNvPr id="8" name="TextBox 7">
          <a:extLst>
            <a:ext uri="{FF2B5EF4-FFF2-40B4-BE49-F238E27FC236}">
              <a16:creationId xmlns:a16="http://schemas.microsoft.com/office/drawing/2014/main" id="{A63FA63C-4D9E-4302-A871-33B279485102}"/>
            </a:ext>
          </a:extLst>
        </xdr:cNvPr>
        <xdr:cNvSpPr txBox="1"/>
      </xdr:nvSpPr>
      <xdr:spPr>
        <a:xfrm rot="10800000" flipH="1" flipV="1">
          <a:off x="609600" y="5520983"/>
          <a:ext cx="8734425" cy="1768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US" sz="800">
              <a:solidFill>
                <a:schemeClr val="bg1"/>
              </a:solidFill>
              <a:latin typeface="Open Sans" panose="020B0606030504020204" pitchFamily="34" charset="0"/>
              <a:ea typeface="Open Sans" panose="020B0606030504020204" pitchFamily="34" charset="0"/>
              <a:cs typeface="Open Sans" panose="020B0606030504020204" pitchFamily="34" charset="0"/>
            </a:rPr>
            <a:t>This report and financial model have been prepared solely for educational, academic, and analytical purposes. Nothing contained herein constitutes investment, financial, legal, or tax advice, nor does it represent a recommendation, an endorsement, an offer to sell, or a solicitation of an offer to buy any securities or financial instruments. This document is not certified investment research prepared in accordance with legal or regulatory requirements designed to promote the independence of investment analysis.</a:t>
          </a:r>
        </a:p>
        <a:p>
          <a:endParaRPr lang="en-US" sz="800">
            <a:solidFill>
              <a:schemeClr val="bg1"/>
            </a:solidFill>
            <a:latin typeface="Open Sans" panose="020B0606030504020204" pitchFamily="34" charset="0"/>
            <a:ea typeface="Open Sans" panose="020B0606030504020204" pitchFamily="34" charset="0"/>
            <a:cs typeface="Open Sans" panose="020B0606030504020204" pitchFamily="34" charset="0"/>
          </a:endParaRPr>
        </a:p>
        <a:p>
          <a:r>
            <a:rPr lang="en-US" sz="800">
              <a:solidFill>
                <a:schemeClr val="bg1"/>
              </a:solidFill>
              <a:latin typeface="Open Sans" panose="020B0606030504020204" pitchFamily="34" charset="0"/>
              <a:ea typeface="Open Sans" panose="020B0606030504020204" pitchFamily="34" charset="0"/>
              <a:cs typeface="Open Sans" panose="020B0606030504020204" pitchFamily="34" charset="0"/>
            </a:rPr>
            <a:t>All historical operating and financial data are compiled from publicly available Annual Reports and Combined Management Reports published by Mercedes-Benz Group AG for the financial years 2021 through 2025. Projections, segment reconciliations (including the isolation of Industrial vs. Mobility operations), and derived analytical metrics reflect independent modeling assumptions; actual future operating performance, cash generation, and financial position of Mercedes-Benz Group AG may differ materially from the figures modeled herein.</a:t>
          </a:r>
        </a:p>
        <a:p>
          <a:endParaRPr lang="en-US" sz="800">
            <a:solidFill>
              <a:schemeClr val="bg1"/>
            </a:solidFill>
            <a:latin typeface="Open Sans" panose="020B0606030504020204" pitchFamily="34" charset="0"/>
            <a:ea typeface="Open Sans" panose="020B0606030504020204" pitchFamily="34" charset="0"/>
            <a:cs typeface="Open Sans" panose="020B0606030504020204" pitchFamily="34" charset="0"/>
          </a:endParaRPr>
        </a:p>
        <a:p>
          <a:r>
            <a:rPr lang="en-US" sz="800">
              <a:solidFill>
                <a:schemeClr val="bg1"/>
              </a:solidFill>
              <a:latin typeface="Open Sans" panose="020B0606030504020204" pitchFamily="34" charset="0"/>
              <a:ea typeface="Open Sans" panose="020B0606030504020204" pitchFamily="34" charset="0"/>
              <a:cs typeface="Open Sans" panose="020B0606030504020204" pitchFamily="34" charset="0"/>
            </a:rPr>
            <a:t>The author assumes no liability—direct, indirect, statutory, or consequential—for any loss, damage, or decision arising from reliance on this workbook, its underlying formulas, or qualitative observations. Users must conduct their own independent evaluation and consult qualified professional financial advisors before undertaking any investment or capital allocation decisions.</a:t>
          </a:r>
        </a:p>
      </xdr:txBody>
    </xdr:sp>
    <xdr:clientData/>
  </xdr:oneCellAnchor>
  <xdr:twoCellAnchor>
    <xdr:from>
      <xdr:col>0</xdr:col>
      <xdr:colOff>76200</xdr:colOff>
      <xdr:row>9</xdr:row>
      <xdr:rowOff>95250</xdr:rowOff>
    </xdr:from>
    <xdr:to>
      <xdr:col>5</xdr:col>
      <xdr:colOff>2152</xdr:colOff>
      <xdr:row>12</xdr:row>
      <xdr:rowOff>24241</xdr:rowOff>
    </xdr:to>
    <xdr:sp macro="" textlink="">
      <xdr:nvSpPr>
        <xdr:cNvPr id="10" name="TextBox 9">
          <a:extLst>
            <a:ext uri="{FF2B5EF4-FFF2-40B4-BE49-F238E27FC236}">
              <a16:creationId xmlns:a16="http://schemas.microsoft.com/office/drawing/2014/main" id="{A4068538-CD96-40BE-9362-D3F3F7BAAF3F}"/>
            </a:ext>
          </a:extLst>
        </xdr:cNvPr>
        <xdr:cNvSpPr txBox="1"/>
      </xdr:nvSpPr>
      <xdr:spPr>
        <a:xfrm>
          <a:off x="76200" y="2095500"/>
          <a:ext cx="3431152" cy="52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F4F5F7"/>
              </a:solidFill>
              <a:latin typeface="Open Sans" panose="020B0606030504020204" pitchFamily="34" charset="0"/>
              <a:ea typeface="Open Sans" panose="020B0606030504020204" pitchFamily="34" charset="0"/>
              <a:cs typeface="Open Sans" panose="020B0606030504020204" pitchFamily="34" charset="0"/>
            </a:rPr>
            <a:t>Mercedes-</a:t>
          </a:r>
          <a:r>
            <a:rPr lang="en-US" sz="1800" b="1">
              <a:solidFill>
                <a:srgbClr val="F4F5F7"/>
              </a:solidFill>
              <a:latin typeface="Aptos" panose="020B0004020202020204" pitchFamily="34" charset="0"/>
            </a:rPr>
            <a:t>Benz Group</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345245</xdr:colOff>
      <xdr:row>1</xdr:row>
      <xdr:rowOff>445771</xdr:rowOff>
    </xdr:to>
    <xdr:pic>
      <xdr:nvPicPr>
        <xdr:cNvPr id="3" name="Picture 2">
          <a:extLst>
            <a:ext uri="{FF2B5EF4-FFF2-40B4-BE49-F238E27FC236}">
              <a16:creationId xmlns:a16="http://schemas.microsoft.com/office/drawing/2014/main" id="{10119A52-BCD9-55DD-F037-BB3C679C5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3280"/>
          <a:ext cx="365760" cy="365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345245</xdr:colOff>
      <xdr:row>1</xdr:row>
      <xdr:rowOff>445771</xdr:rowOff>
    </xdr:to>
    <xdr:pic>
      <xdr:nvPicPr>
        <xdr:cNvPr id="2" name="Picture 1">
          <a:extLst>
            <a:ext uri="{FF2B5EF4-FFF2-40B4-BE49-F238E27FC236}">
              <a16:creationId xmlns:a16="http://schemas.microsoft.com/office/drawing/2014/main" id="{419EA113-8595-4844-8AC6-31144412F5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4295" cy="365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F15E03FA-DDF5-4D1F-A52D-0ED6BFFDC8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4295" cy="3657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40B4A3C4-A873-462E-9871-8D6086772D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5415" cy="365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F6DE7241-F65B-4511-993F-2A96B3A3C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5415" cy="365760"/>
        </a:xfrm>
        <a:prstGeom prst="rect">
          <a:avLst/>
        </a:prstGeom>
      </xdr:spPr>
    </xdr:pic>
    <xdr:clientData/>
  </xdr:twoCellAnchor>
  <xdr:twoCellAnchor>
    <xdr:from>
      <xdr:col>3</xdr:col>
      <xdr:colOff>11206</xdr:colOff>
      <xdr:row>99</xdr:row>
      <xdr:rowOff>26338</xdr:rowOff>
    </xdr:from>
    <xdr:to>
      <xdr:col>11</xdr:col>
      <xdr:colOff>672353</xdr:colOff>
      <xdr:row>124</xdr:row>
      <xdr:rowOff>156882</xdr:rowOff>
    </xdr:to>
    <xdr:graphicFrame macro="">
      <xdr:nvGraphicFramePr>
        <xdr:cNvPr id="5" name="Chart 4">
          <a:extLst>
            <a:ext uri="{FF2B5EF4-FFF2-40B4-BE49-F238E27FC236}">
              <a16:creationId xmlns:a16="http://schemas.microsoft.com/office/drawing/2014/main" id="{C66FD728-757B-E36C-75E5-4FAB26A8D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40822</xdr:colOff>
      <xdr:row>69</xdr:row>
      <xdr:rowOff>40822</xdr:rowOff>
    </xdr:from>
    <xdr:to>
      <xdr:col>11</xdr:col>
      <xdr:colOff>693965</xdr:colOff>
      <xdr:row>94</xdr:row>
      <xdr:rowOff>168088</xdr:rowOff>
    </xdr:to>
    <xdr:graphicFrame macro="">
      <xdr:nvGraphicFramePr>
        <xdr:cNvPr id="3" name="Chart 2">
          <a:extLst>
            <a:ext uri="{FF2B5EF4-FFF2-40B4-BE49-F238E27FC236}">
              <a16:creationId xmlns:a16="http://schemas.microsoft.com/office/drawing/2014/main" id="{6A5AE502-1D6E-8BF5-C041-D2B062983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17607</xdr:colOff>
      <xdr:row>129</xdr:row>
      <xdr:rowOff>11906</xdr:rowOff>
    </xdr:from>
    <xdr:to>
      <xdr:col>11</xdr:col>
      <xdr:colOff>683559</xdr:colOff>
      <xdr:row>154</xdr:row>
      <xdr:rowOff>156881</xdr:rowOff>
    </xdr:to>
    <xdr:graphicFrame macro="">
      <xdr:nvGraphicFramePr>
        <xdr:cNvPr id="6" name="Chart 5">
          <a:extLst>
            <a:ext uri="{FF2B5EF4-FFF2-40B4-BE49-F238E27FC236}">
              <a16:creationId xmlns:a16="http://schemas.microsoft.com/office/drawing/2014/main" id="{3A18EA68-71DC-B919-2E34-17DD21FCC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12807</xdr:colOff>
      <xdr:row>159</xdr:row>
      <xdr:rowOff>39537</xdr:rowOff>
    </xdr:from>
    <xdr:to>
      <xdr:col>11</xdr:col>
      <xdr:colOff>683559</xdr:colOff>
      <xdr:row>184</xdr:row>
      <xdr:rowOff>168088</xdr:rowOff>
    </xdr:to>
    <xdr:graphicFrame macro="">
      <xdr:nvGraphicFramePr>
        <xdr:cNvPr id="8" name="Chart 7">
          <a:extLst>
            <a:ext uri="{FF2B5EF4-FFF2-40B4-BE49-F238E27FC236}">
              <a16:creationId xmlns:a16="http://schemas.microsoft.com/office/drawing/2014/main" id="{5F218113-D544-3BDE-788B-DF5CA5574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8002</xdr:colOff>
      <xdr:row>189</xdr:row>
      <xdr:rowOff>52835</xdr:rowOff>
    </xdr:from>
    <xdr:to>
      <xdr:col>11</xdr:col>
      <xdr:colOff>705971</xdr:colOff>
      <xdr:row>214</xdr:row>
      <xdr:rowOff>202406</xdr:rowOff>
    </xdr:to>
    <xdr:graphicFrame macro="">
      <xdr:nvGraphicFramePr>
        <xdr:cNvPr id="7" name="Chart 6">
          <a:extLst>
            <a:ext uri="{FF2B5EF4-FFF2-40B4-BE49-F238E27FC236}">
              <a16:creationId xmlns:a16="http://schemas.microsoft.com/office/drawing/2014/main" id="{A08CD7D5-4120-511F-FB86-5387FE7FB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17858</xdr:colOff>
      <xdr:row>39</xdr:row>
      <xdr:rowOff>15478</xdr:rowOff>
    </xdr:from>
    <xdr:to>
      <xdr:col>11</xdr:col>
      <xdr:colOff>678656</xdr:colOff>
      <xdr:row>64</xdr:row>
      <xdr:rowOff>190500</xdr:rowOff>
    </xdr:to>
    <xdr:graphicFrame macro="">
      <xdr:nvGraphicFramePr>
        <xdr:cNvPr id="9" name="Chart 8">
          <a:extLst>
            <a:ext uri="{FF2B5EF4-FFF2-40B4-BE49-F238E27FC236}">
              <a16:creationId xmlns:a16="http://schemas.microsoft.com/office/drawing/2014/main" id="{7662AF83-4996-6358-883A-A68046A8E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716319AA-70F2-49B9-89B7-B6C700A9EB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5415" cy="365760"/>
        </a:xfrm>
        <a:prstGeom prst="rect">
          <a:avLst/>
        </a:prstGeom>
      </xdr:spPr>
    </xdr:pic>
    <xdr:clientData/>
  </xdr:twoCellAnchor>
  <xdr:twoCellAnchor>
    <xdr:from>
      <xdr:col>3</xdr:col>
      <xdr:colOff>24013</xdr:colOff>
      <xdr:row>28</xdr:row>
      <xdr:rowOff>11925</xdr:rowOff>
    </xdr:from>
    <xdr:to>
      <xdr:col>11</xdr:col>
      <xdr:colOff>683559</xdr:colOff>
      <xdr:row>53</xdr:row>
      <xdr:rowOff>168089</xdr:rowOff>
    </xdr:to>
    <xdr:graphicFrame macro="">
      <xdr:nvGraphicFramePr>
        <xdr:cNvPr id="4" name="Chart 3">
          <a:extLst>
            <a:ext uri="{FF2B5EF4-FFF2-40B4-BE49-F238E27FC236}">
              <a16:creationId xmlns:a16="http://schemas.microsoft.com/office/drawing/2014/main" id="{6938170C-80EE-9817-C790-2B32ED28A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83833C6D-BCFC-42F4-AF3C-5340DCA79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5415" cy="365760"/>
        </a:xfrm>
        <a:prstGeom prst="rect">
          <a:avLst/>
        </a:prstGeom>
      </xdr:spPr>
    </xdr:pic>
    <xdr:clientData/>
  </xdr:twoCellAnchor>
  <xdr:twoCellAnchor>
    <xdr:from>
      <xdr:col>3</xdr:col>
      <xdr:colOff>17508</xdr:colOff>
      <xdr:row>40</xdr:row>
      <xdr:rowOff>25216</xdr:rowOff>
    </xdr:from>
    <xdr:to>
      <xdr:col>11</xdr:col>
      <xdr:colOff>672353</xdr:colOff>
      <xdr:row>70</xdr:row>
      <xdr:rowOff>156882</xdr:rowOff>
    </xdr:to>
    <xdr:graphicFrame macro="">
      <xdr:nvGraphicFramePr>
        <xdr:cNvPr id="5" name="Chart 4">
          <a:extLst>
            <a:ext uri="{FF2B5EF4-FFF2-40B4-BE49-F238E27FC236}">
              <a16:creationId xmlns:a16="http://schemas.microsoft.com/office/drawing/2014/main" id="{6269EA2C-8663-4093-AC8D-A05ED0909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1223CE67-3CBB-4D98-86B9-11F1855857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5415" cy="365760"/>
        </a:xfrm>
        <a:prstGeom prst="rect">
          <a:avLst/>
        </a:prstGeom>
      </xdr:spPr>
    </xdr:pic>
    <xdr:clientData/>
  </xdr:twoCellAnchor>
  <xdr:twoCellAnchor>
    <xdr:from>
      <xdr:col>3</xdr:col>
      <xdr:colOff>30014</xdr:colOff>
      <xdr:row>36</xdr:row>
      <xdr:rowOff>68754</xdr:rowOff>
    </xdr:from>
    <xdr:to>
      <xdr:col>11</xdr:col>
      <xdr:colOff>683559</xdr:colOff>
      <xdr:row>63</xdr:row>
      <xdr:rowOff>179295</xdr:rowOff>
    </xdr:to>
    <xdr:graphicFrame macro="">
      <xdr:nvGraphicFramePr>
        <xdr:cNvPr id="4" name="Chart 3">
          <a:extLst>
            <a:ext uri="{FF2B5EF4-FFF2-40B4-BE49-F238E27FC236}">
              <a16:creationId xmlns:a16="http://schemas.microsoft.com/office/drawing/2014/main" id="{FC4C9147-FBE3-1FF1-CFFC-9A876D80A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F529B36F-40C1-4FE2-8082-F99773A504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5415" cy="365760"/>
        </a:xfrm>
        <a:prstGeom prst="rect">
          <a:avLst/>
        </a:prstGeom>
      </xdr:spPr>
    </xdr:pic>
    <xdr:clientData/>
  </xdr:twoCellAnchor>
  <xdr:twoCellAnchor>
    <xdr:from>
      <xdr:col>2</xdr:col>
      <xdr:colOff>782310</xdr:colOff>
      <xdr:row>72</xdr:row>
      <xdr:rowOff>2520</xdr:rowOff>
    </xdr:from>
    <xdr:to>
      <xdr:col>11</xdr:col>
      <xdr:colOff>678656</xdr:colOff>
      <xdr:row>98</xdr:row>
      <xdr:rowOff>178594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856EBDC-501D-74CA-E591-680FF140AF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77610" y="13994745"/>
              <a:ext cx="8192621" cy="5624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11205</xdr:colOff>
      <xdr:row>103</xdr:row>
      <xdr:rowOff>12325</xdr:rowOff>
    </xdr:from>
    <xdr:to>
      <xdr:col>11</xdr:col>
      <xdr:colOff>705971</xdr:colOff>
      <xdr:row>129</xdr:row>
      <xdr:rowOff>179293</xdr:rowOff>
    </xdr:to>
    <xdr:graphicFrame macro="">
      <xdr:nvGraphicFramePr>
        <xdr:cNvPr id="5" name="Chart 4">
          <a:extLst>
            <a:ext uri="{FF2B5EF4-FFF2-40B4-BE49-F238E27FC236}">
              <a16:creationId xmlns:a16="http://schemas.microsoft.com/office/drawing/2014/main" id="{7BFD2105-CA86-9F05-BC44-B2A8F6716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25512</xdr:colOff>
      <xdr:row>134</xdr:row>
      <xdr:rowOff>40821</xdr:rowOff>
    </xdr:from>
    <xdr:to>
      <xdr:col>11</xdr:col>
      <xdr:colOff>690562</xdr:colOff>
      <xdr:row>164</xdr:row>
      <xdr:rowOff>154781</xdr:rowOff>
    </xdr:to>
    <xdr:graphicFrame macro="">
      <xdr:nvGraphicFramePr>
        <xdr:cNvPr id="6" name="Chart 5">
          <a:extLst>
            <a:ext uri="{FF2B5EF4-FFF2-40B4-BE49-F238E27FC236}">
              <a16:creationId xmlns:a16="http://schemas.microsoft.com/office/drawing/2014/main" id="{A20D844F-657D-0D8A-7E14-48BCA4C02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13007</xdr:colOff>
      <xdr:row>170</xdr:row>
      <xdr:rowOff>63734</xdr:rowOff>
    </xdr:from>
    <xdr:to>
      <xdr:col>11</xdr:col>
      <xdr:colOff>696165</xdr:colOff>
      <xdr:row>195</xdr:row>
      <xdr:rowOff>174091</xdr:rowOff>
    </xdr:to>
    <xdr:graphicFrame macro="">
      <xdr:nvGraphicFramePr>
        <xdr:cNvPr id="9" name="Diagram 8">
          <a:extLst>
            <a:ext uri="{FF2B5EF4-FFF2-40B4-BE49-F238E27FC236}">
              <a16:creationId xmlns:a16="http://schemas.microsoft.com/office/drawing/2014/main" id="{74D9997F-6345-BFDB-84FF-0D7214D7BAD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5" r:lo="rId6" r:qs="rId7" r:cs="rId8"/>
        </a:graphicData>
      </a:graphic>
    </xdr:graphicFrame>
    <xdr:clientData/>
  </xdr:twoCellAnchor>
  <xdr:twoCellAnchor>
    <xdr:from>
      <xdr:col>3</xdr:col>
      <xdr:colOff>30117</xdr:colOff>
      <xdr:row>200</xdr:row>
      <xdr:rowOff>58132</xdr:rowOff>
    </xdr:from>
    <xdr:to>
      <xdr:col>11</xdr:col>
      <xdr:colOff>690563</xdr:colOff>
      <xdr:row>226</xdr:row>
      <xdr:rowOff>166687</xdr:rowOff>
    </xdr:to>
    <xdr:graphicFrame macro="">
      <xdr:nvGraphicFramePr>
        <xdr:cNvPr id="7" name="Chart 6">
          <a:extLst>
            <a:ext uri="{FF2B5EF4-FFF2-40B4-BE49-F238E27FC236}">
              <a16:creationId xmlns:a16="http://schemas.microsoft.com/office/drawing/2014/main" id="{E63B84BC-BFB8-4890-B2E0-BD54D7F75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23811</xdr:colOff>
      <xdr:row>231</xdr:row>
      <xdr:rowOff>58129</xdr:rowOff>
    </xdr:from>
    <xdr:to>
      <xdr:col>11</xdr:col>
      <xdr:colOff>702468</xdr:colOff>
      <xdr:row>257</xdr:row>
      <xdr:rowOff>190500</xdr:rowOff>
    </xdr:to>
    <xdr:graphicFrame macro="">
      <xdr:nvGraphicFramePr>
        <xdr:cNvPr id="13" name="Chart 12">
          <a:extLst>
            <a:ext uri="{FF2B5EF4-FFF2-40B4-BE49-F238E27FC236}">
              <a16:creationId xmlns:a16="http://schemas.microsoft.com/office/drawing/2014/main" id="{46243A86-C0D5-4838-B0AA-68689DD2C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7005</xdr:colOff>
      <xdr:row>262</xdr:row>
      <xdr:rowOff>32214</xdr:rowOff>
    </xdr:from>
    <xdr:to>
      <xdr:col>11</xdr:col>
      <xdr:colOff>678656</xdr:colOff>
      <xdr:row>288</xdr:row>
      <xdr:rowOff>178593</xdr:rowOff>
    </xdr:to>
    <xdr:graphicFrame macro="">
      <xdr:nvGraphicFramePr>
        <xdr:cNvPr id="16" name="Chart 15">
          <a:extLst>
            <a:ext uri="{FF2B5EF4-FFF2-40B4-BE49-F238E27FC236}">
              <a16:creationId xmlns:a16="http://schemas.microsoft.com/office/drawing/2014/main" id="{C1FE91D3-29D1-4BAF-B09B-CD2FAC228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12406</xdr:colOff>
      <xdr:row>293</xdr:row>
      <xdr:rowOff>42022</xdr:rowOff>
    </xdr:from>
    <xdr:to>
      <xdr:col>11</xdr:col>
      <xdr:colOff>678656</xdr:colOff>
      <xdr:row>319</xdr:row>
      <xdr:rowOff>190501</xdr:rowOff>
    </xdr:to>
    <xdr:graphicFrame macro="">
      <xdr:nvGraphicFramePr>
        <xdr:cNvPr id="18" name="Chart 17">
          <a:extLst>
            <a:ext uri="{FF2B5EF4-FFF2-40B4-BE49-F238E27FC236}">
              <a16:creationId xmlns:a16="http://schemas.microsoft.com/office/drawing/2014/main" id="{C786D3C7-BF38-3E15-E56F-F5000519E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238827</xdr:colOff>
      <xdr:row>299</xdr:row>
      <xdr:rowOff>139373</xdr:rowOff>
    </xdr:from>
    <xdr:to>
      <xdr:col>11</xdr:col>
      <xdr:colOff>661847</xdr:colOff>
      <xdr:row>302</xdr:row>
      <xdr:rowOff>15407</xdr:rowOff>
    </xdr:to>
    <xdr:sp macro="" textlink="">
      <xdr:nvSpPr>
        <xdr:cNvPr id="19" name="TextBox 18">
          <a:extLst>
            <a:ext uri="{FF2B5EF4-FFF2-40B4-BE49-F238E27FC236}">
              <a16:creationId xmlns:a16="http://schemas.microsoft.com/office/drawing/2014/main" id="{1815054D-3DBC-DD76-E1C3-023DDC6AF48A}"/>
            </a:ext>
          </a:extLst>
        </xdr:cNvPr>
        <xdr:cNvSpPr txBox="1"/>
      </xdr:nvSpPr>
      <xdr:spPr>
        <a:xfrm>
          <a:off x="7608796" y="60134967"/>
          <a:ext cx="1851770" cy="4832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C00000"/>
              </a:solidFill>
              <a:latin typeface="Open Sans" panose="020B0606030504020204" pitchFamily="34" charset="0"/>
              <a:ea typeface="Open Sans" panose="020B0606030504020204" pitchFamily="34" charset="0"/>
              <a:cs typeface="Open Sans" panose="020B0606030504020204" pitchFamily="34" charset="0"/>
            </a:rPr>
            <a:t>1.0x = 100% Adjusted Cash</a:t>
          </a:r>
          <a:r>
            <a:rPr lang="en-US" sz="1050" b="1" baseline="0">
              <a:solidFill>
                <a:srgbClr val="C00000"/>
              </a:solidFill>
              <a:latin typeface="Open Sans" panose="020B0606030504020204" pitchFamily="34" charset="0"/>
              <a:ea typeface="Open Sans" panose="020B0606030504020204" pitchFamily="34" charset="0"/>
              <a:cs typeface="Open Sans" panose="020B0606030504020204" pitchFamily="34" charset="0"/>
            </a:rPr>
            <a:t> Conversion</a:t>
          </a:r>
          <a:endParaRPr lang="en-US" sz="1050" b="1">
            <a:solidFill>
              <a:srgbClr val="C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3</xdr:col>
      <xdr:colOff>31517</xdr:colOff>
      <xdr:row>324</xdr:row>
      <xdr:rowOff>14006</xdr:rowOff>
    </xdr:from>
    <xdr:to>
      <xdr:col>11</xdr:col>
      <xdr:colOff>702468</xdr:colOff>
      <xdr:row>350</xdr:row>
      <xdr:rowOff>178593</xdr:rowOff>
    </xdr:to>
    <xdr:graphicFrame macro="">
      <xdr:nvGraphicFramePr>
        <xdr:cNvPr id="21" name="Chart 20">
          <a:extLst>
            <a:ext uri="{FF2B5EF4-FFF2-40B4-BE49-F238E27FC236}">
              <a16:creationId xmlns:a16="http://schemas.microsoft.com/office/drawing/2014/main" id="{19396048-32B6-4512-B965-DAF409E82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0.62096</cdr:x>
      <cdr:y>0.16</cdr:y>
    </cdr:from>
    <cdr:to>
      <cdr:x>0.69059</cdr:x>
      <cdr:y>0.20605</cdr:y>
    </cdr:to>
    <cdr:sp macro="" textlink="'Operating Data'!$M$18">
      <cdr:nvSpPr>
        <cdr:cNvPr id="2" name="TextBox 1">
          <a:extLst xmlns:a="http://schemas.openxmlformats.org/drawingml/2006/main">
            <a:ext uri="{FF2B5EF4-FFF2-40B4-BE49-F238E27FC236}">
              <a16:creationId xmlns:a16="http://schemas.microsoft.com/office/drawing/2014/main" id="{5A9AB5F9-C12B-10E2-4F8B-F7C2596C32A2}"/>
            </a:ext>
          </a:extLst>
        </cdr:cNvPr>
        <cdr:cNvSpPr txBox="1"/>
      </cdr:nvSpPr>
      <cdr:spPr>
        <a:xfrm xmlns:a="http://schemas.openxmlformats.org/drawingml/2006/main">
          <a:off x="5096577" y="868737"/>
          <a:ext cx="571500" cy="2500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F4D9638-8E82-4123-9A51-01BFE6E6CB21}" type="TxLink">
            <a:rPr lang="en-US" sz="1000" b="1" i="0" u="none" strike="noStrike">
              <a:solidFill>
                <a:srgbClr val="C00000"/>
              </a:solidFill>
              <a:latin typeface="Open sans"/>
              <a:ea typeface="Open sans"/>
              <a:cs typeface="Open sans"/>
            </a:rPr>
            <a:pPr/>
            <a:t>(1.0%)</a:t>
          </a:fld>
          <a:endParaRPr lang="en-US" sz="1100" b="1">
            <a:solidFill>
              <a:srgbClr val="C00000"/>
            </a:solidFill>
          </a:endParaRPr>
        </a:p>
      </cdr:txBody>
    </cdr:sp>
  </cdr:relSizeAnchor>
  <cdr:relSizeAnchor xmlns:cdr="http://schemas.openxmlformats.org/drawingml/2006/chartDrawing">
    <cdr:from>
      <cdr:x>0.70975</cdr:x>
      <cdr:y>0.50428</cdr:y>
    </cdr:from>
    <cdr:to>
      <cdr:x>0.79358</cdr:x>
      <cdr:y>0.55757</cdr:y>
    </cdr:to>
    <cdr:sp macro="" textlink="'Operating Data'!$M$19">
      <cdr:nvSpPr>
        <cdr:cNvPr id="3" name="TextBox 1">
          <a:extLst xmlns:a="http://schemas.openxmlformats.org/drawingml/2006/main">
            <a:ext uri="{FF2B5EF4-FFF2-40B4-BE49-F238E27FC236}">
              <a16:creationId xmlns:a16="http://schemas.microsoft.com/office/drawing/2014/main" id="{94EA0AB4-3FA6-8F7E-5D3C-F42B7D356CE1}"/>
            </a:ext>
          </a:extLst>
        </cdr:cNvPr>
        <cdr:cNvSpPr txBox="1"/>
      </cdr:nvSpPr>
      <cdr:spPr>
        <a:xfrm xmlns:a="http://schemas.openxmlformats.org/drawingml/2006/main">
          <a:off x="5825330" y="2738018"/>
          <a:ext cx="688090" cy="28934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B49DFBF2-E9E6-4A6B-820A-975EAC85D7C3}" type="TxLink">
            <a:rPr lang="en-US" sz="1000" b="1" i="0" u="none" strike="noStrike">
              <a:solidFill>
                <a:srgbClr val="C00000"/>
              </a:solidFill>
              <a:latin typeface="Open sans"/>
              <a:ea typeface="Open sans"/>
              <a:cs typeface="Open sans"/>
            </a:rPr>
            <a:pPr/>
            <a:t>(12.3%)</a:t>
          </a:fld>
          <a:endParaRPr lang="en-US" sz="1100" b="1">
            <a:solidFill>
              <a:srgbClr val="C00000"/>
            </a:solidFill>
          </a:endParaRPr>
        </a:p>
      </cdr:txBody>
    </cdr:sp>
  </cdr:relSizeAnchor>
  <cdr:relSizeAnchor xmlns:cdr="http://schemas.openxmlformats.org/drawingml/2006/chartDrawing">
    <cdr:from>
      <cdr:x>0.80404</cdr:x>
      <cdr:y>0.26154</cdr:y>
    </cdr:from>
    <cdr:to>
      <cdr:x>0.89078</cdr:x>
      <cdr:y>0.31789</cdr:y>
    </cdr:to>
    <cdr:sp macro="" textlink="'Operating Data'!$M$20">
      <cdr:nvSpPr>
        <cdr:cNvPr id="4" name="TextBox 1">
          <a:extLst xmlns:a="http://schemas.openxmlformats.org/drawingml/2006/main">
            <a:ext uri="{FF2B5EF4-FFF2-40B4-BE49-F238E27FC236}">
              <a16:creationId xmlns:a16="http://schemas.microsoft.com/office/drawing/2014/main" id="{94EA0AB4-3FA6-8F7E-5D3C-F42B7D356CE1}"/>
            </a:ext>
          </a:extLst>
        </cdr:cNvPr>
        <cdr:cNvSpPr txBox="1"/>
      </cdr:nvSpPr>
      <cdr:spPr>
        <a:xfrm xmlns:a="http://schemas.openxmlformats.org/drawingml/2006/main">
          <a:off x="6599237" y="1420019"/>
          <a:ext cx="711902" cy="30596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9F494535-496A-4A79-B5E8-69B681784263}" type="TxLink">
            <a:rPr lang="en-US" sz="1000" b="1" i="0" u="none" strike="noStrike">
              <a:solidFill>
                <a:srgbClr val="C00000"/>
              </a:solidFill>
              <a:latin typeface="Open Sans" panose="020B0606030504020204" pitchFamily="34" charset="0"/>
              <a:ea typeface="Open Sans" panose="020B0606030504020204" pitchFamily="34" charset="0"/>
              <a:cs typeface="Open Sans" panose="020B0606030504020204" pitchFamily="34" charset="0"/>
            </a:rPr>
            <a:pPr/>
            <a:t>(19.3%)</a:t>
          </a:fld>
          <a:endParaRPr lang="en-US" sz="1100" b="1">
            <a:solidFill>
              <a:srgbClr val="C00000"/>
            </a:solidFill>
            <a:latin typeface="Open Sans" panose="020B0606030504020204" pitchFamily="34" charset="0"/>
            <a:ea typeface="Open Sans" panose="020B0606030504020204" pitchFamily="34" charset="0"/>
            <a:cs typeface="Open Sans" panose="020B0606030504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0.07897</cdr:x>
      <cdr:y>0.34985</cdr:y>
    </cdr:from>
    <cdr:to>
      <cdr:x>0.99185</cdr:x>
      <cdr:y>0.34985</cdr:y>
    </cdr:to>
    <cdr:cxnSp macro="">
      <cdr:nvCxnSpPr>
        <cdr:cNvPr id="3" name="Straight Connector 2">
          <a:extLst xmlns:a="http://schemas.openxmlformats.org/drawingml/2006/main">
            <a:ext uri="{FF2B5EF4-FFF2-40B4-BE49-F238E27FC236}">
              <a16:creationId xmlns:a16="http://schemas.microsoft.com/office/drawing/2014/main" id="{71B23A23-E400-7292-29AB-7B3D3CD496E9}"/>
            </a:ext>
          </a:extLst>
        </cdr:cNvPr>
        <cdr:cNvCxnSpPr/>
      </cdr:nvCxnSpPr>
      <cdr:spPr>
        <a:xfrm xmlns:a="http://schemas.openxmlformats.org/drawingml/2006/main">
          <a:off x="645876" y="1897234"/>
          <a:ext cx="7466531" cy="0"/>
        </a:xfrm>
        <a:prstGeom xmlns:a="http://schemas.openxmlformats.org/drawingml/2006/main" prst="line">
          <a:avLst/>
        </a:prstGeom>
        <a:ln xmlns:a="http://schemas.openxmlformats.org/drawingml/2006/main" w="28575">
          <a:solidFill>
            <a:srgbClr val="C0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0A4F801D-00DA-4813-BAAA-4A463F8C45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5415" cy="365760"/>
        </a:xfrm>
        <a:prstGeom prst="rect">
          <a:avLst/>
        </a:prstGeom>
      </xdr:spPr>
    </xdr:pic>
    <xdr:clientData/>
  </xdr:twoCellAnchor>
  <xdr:twoCellAnchor>
    <xdr:from>
      <xdr:col>3</xdr:col>
      <xdr:colOff>22411</xdr:colOff>
      <xdr:row>31</xdr:row>
      <xdr:rowOff>11205</xdr:rowOff>
    </xdr:from>
    <xdr:to>
      <xdr:col>11</xdr:col>
      <xdr:colOff>705970</xdr:colOff>
      <xdr:row>56</xdr:row>
      <xdr:rowOff>190500</xdr:rowOff>
    </xdr:to>
    <xdr:graphicFrame macro="">
      <xdr:nvGraphicFramePr>
        <xdr:cNvPr id="4" name="Chart 3">
          <a:extLst>
            <a:ext uri="{FF2B5EF4-FFF2-40B4-BE49-F238E27FC236}">
              <a16:creationId xmlns:a16="http://schemas.microsoft.com/office/drawing/2014/main" id="{430A00EE-3D73-22B6-E518-E4B47C7B2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26415</xdr:colOff>
      <xdr:row>62</xdr:row>
      <xdr:rowOff>33615</xdr:rowOff>
    </xdr:from>
    <xdr:to>
      <xdr:col>11</xdr:col>
      <xdr:colOff>694765</xdr:colOff>
      <xdr:row>86</xdr:row>
      <xdr:rowOff>179293</xdr:rowOff>
    </xdr:to>
    <xdr:graphicFrame macro="">
      <xdr:nvGraphicFramePr>
        <xdr:cNvPr id="7" name="Chart 6">
          <a:extLst>
            <a:ext uri="{FF2B5EF4-FFF2-40B4-BE49-F238E27FC236}">
              <a16:creationId xmlns:a16="http://schemas.microsoft.com/office/drawing/2014/main" id="{644F392E-A4EC-4276-9458-F73F82E74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0.444</cdr:x>
      <cdr:y>0.26962</cdr:y>
    </cdr:from>
    <cdr:to>
      <cdr:x>0.6485</cdr:x>
      <cdr:y>0.36695</cdr:y>
    </cdr:to>
    <cdr:sp macro="" textlink="">
      <cdr:nvSpPr>
        <cdr:cNvPr id="2" name="Speech Bubble: Rectangle 1">
          <a:extLst xmlns:a="http://schemas.openxmlformats.org/drawingml/2006/main">
            <a:ext uri="{FF2B5EF4-FFF2-40B4-BE49-F238E27FC236}">
              <a16:creationId xmlns:a16="http://schemas.microsoft.com/office/drawing/2014/main" id="{60657987-0DBB-A781-0E0B-F07C7146950E}"/>
            </a:ext>
          </a:extLst>
        </cdr:cNvPr>
        <cdr:cNvSpPr/>
      </cdr:nvSpPr>
      <cdr:spPr>
        <a:xfrm xmlns:a="http://schemas.openxmlformats.org/drawingml/2006/main">
          <a:off x="3651920" y="1407930"/>
          <a:ext cx="1682080" cy="508277"/>
        </a:xfrm>
        <a:prstGeom xmlns:a="http://schemas.openxmlformats.org/drawingml/2006/main" prst="wedgeRectCallout">
          <a:avLst>
            <a:gd name="adj1" fmla="val 50409"/>
            <a:gd name="adj2" fmla="val -135002"/>
          </a:avLst>
        </a:prstGeom>
        <a:solidFill xmlns:a="http://schemas.openxmlformats.org/drawingml/2006/main">
          <a:schemeClr val="accent2">
            <a:lumMod val="20000"/>
            <a:lumOff val="80000"/>
          </a:schemeClr>
        </a:solidFill>
        <a:ln xmlns:a="http://schemas.openxmlformats.org/drawingml/2006/main">
          <a:solidFill>
            <a:srgbClr val="C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a:solidFill>
                <a:srgbClr val="C00000"/>
              </a:solidFill>
              <a:latin typeface="Open Sans" panose="020B0606030504020204" pitchFamily="34" charset="0"/>
              <a:ea typeface="Open Sans" panose="020B0606030504020204" pitchFamily="34" charset="0"/>
              <a:cs typeface="Open Sans" panose="020B0606030504020204" pitchFamily="34" charset="0"/>
            </a:rPr>
            <a:t>BMW Group delivered 2.6x as many BEVs</a:t>
          </a:r>
        </a:p>
      </cdr:txBody>
    </cdr:sp>
  </cdr:relSizeAnchor>
</c:userShapes>
</file>

<file path=xl/drawings/drawing15.xml><?xml version="1.0" encoding="utf-8"?>
<xdr:wsDr xmlns:xdr="http://schemas.openxmlformats.org/drawingml/2006/spreadsheetDrawing" xmlns:a="http://schemas.openxmlformats.org/drawingml/2006/main">
  <xdr:twoCellAnchor editAs="oneCell">
    <xdr:from>
      <xdr:col>1</xdr:col>
      <xdr:colOff>95250</xdr:colOff>
      <xdr:row>1</xdr:row>
      <xdr:rowOff>80011</xdr:rowOff>
    </xdr:from>
    <xdr:to>
      <xdr:col>2</xdr:col>
      <xdr:colOff>346365</xdr:colOff>
      <xdr:row>1</xdr:row>
      <xdr:rowOff>445771</xdr:rowOff>
    </xdr:to>
    <xdr:pic>
      <xdr:nvPicPr>
        <xdr:cNvPr id="2" name="Picture 1">
          <a:extLst>
            <a:ext uri="{FF2B5EF4-FFF2-40B4-BE49-F238E27FC236}">
              <a16:creationId xmlns:a16="http://schemas.microsoft.com/office/drawing/2014/main" id="{277D5960-3A27-4EE8-960D-61207EADBE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156211"/>
          <a:ext cx="365415" cy="365760"/>
        </a:xfrm>
        <a:prstGeom prst="rect">
          <a:avLst/>
        </a:prstGeom>
      </xdr:spPr>
    </xdr:pic>
    <xdr:clientData/>
  </xdr:twoCellAnchor>
  <xdr:twoCellAnchor>
    <xdr:from>
      <xdr:col>3</xdr:col>
      <xdr:colOff>11208</xdr:colOff>
      <xdr:row>32</xdr:row>
      <xdr:rowOff>33618</xdr:rowOff>
    </xdr:from>
    <xdr:to>
      <xdr:col>11</xdr:col>
      <xdr:colOff>694766</xdr:colOff>
      <xdr:row>57</xdr:row>
      <xdr:rowOff>179295</xdr:rowOff>
    </xdr:to>
    <xdr:graphicFrame macro="">
      <xdr:nvGraphicFramePr>
        <xdr:cNvPr id="7" name="Chart 6">
          <a:extLst>
            <a:ext uri="{FF2B5EF4-FFF2-40B4-BE49-F238E27FC236}">
              <a16:creationId xmlns:a16="http://schemas.microsoft.com/office/drawing/2014/main" id="{B9957CED-0CB3-503A-8B9E-8972C6741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922D-68EA-438F-BE7C-7ECA320DA164}">
  <sheetPr>
    <outlinePr showOutlineSymbols="0"/>
    <pageSetUpPr autoPageBreaks="0"/>
  </sheetPr>
  <dimension ref="A1:O37"/>
  <sheetViews>
    <sheetView showGridLines="0" tabSelected="1" showOutlineSymbols="0" zoomScale="80" zoomScaleNormal="80" workbookViewId="0"/>
  </sheetViews>
  <sheetFormatPr defaultRowHeight="15" x14ac:dyDescent="0.25"/>
  <cols>
    <col min="1" max="1" width="5.7109375" customWidth="1"/>
    <col min="2" max="2" width="1.7109375" customWidth="1"/>
    <col min="3" max="3" width="11.7109375" customWidth="1"/>
    <col min="4" max="4" width="17.7109375" customWidth="1"/>
    <col min="5" max="8" width="15.7109375" customWidth="1"/>
    <col min="9" max="12" width="10.7109375" customWidth="1"/>
    <col min="13" max="14" width="2.7109375" customWidth="1"/>
  </cols>
  <sheetData>
    <row r="1" spans="1:15" ht="6" customHeight="1" thickBot="1" x14ac:dyDescent="0.3">
      <c r="A1" s="35"/>
      <c r="B1" s="35"/>
      <c r="C1" s="35"/>
      <c r="D1" s="35"/>
      <c r="E1" s="35"/>
      <c r="F1" s="35"/>
      <c r="G1" s="35"/>
      <c r="H1" s="35"/>
      <c r="I1" s="35"/>
      <c r="J1" s="35"/>
      <c r="K1" s="35"/>
      <c r="L1" s="35"/>
      <c r="M1" s="35"/>
      <c r="N1" s="35"/>
      <c r="O1" s="35"/>
    </row>
    <row r="2" spans="1:15" ht="39.950000000000003" customHeight="1" x14ac:dyDescent="0.25">
      <c r="A2" s="35"/>
      <c r="B2" s="53"/>
      <c r="C2" s="54"/>
      <c r="D2" s="55"/>
      <c r="E2" s="54"/>
      <c r="F2" s="54"/>
      <c r="G2" s="54"/>
      <c r="H2" s="54"/>
      <c r="I2" s="56"/>
      <c r="J2" s="54"/>
      <c r="K2" s="54"/>
      <c r="L2" s="54"/>
      <c r="M2" s="57"/>
      <c r="N2" s="35"/>
      <c r="O2" s="35"/>
    </row>
    <row r="3" spans="1:15" x14ac:dyDescent="0.25">
      <c r="A3" s="35"/>
      <c r="B3" s="58"/>
      <c r="C3" s="42"/>
      <c r="D3" s="42"/>
      <c r="E3" s="42"/>
      <c r="F3" s="42"/>
      <c r="G3" s="42"/>
      <c r="H3" s="42"/>
      <c r="I3" s="42"/>
      <c r="J3" s="42"/>
      <c r="K3" s="42"/>
      <c r="L3" s="42"/>
      <c r="M3" s="59"/>
      <c r="N3" s="35"/>
      <c r="O3" s="35"/>
    </row>
    <row r="4" spans="1:15" ht="16.5" x14ac:dyDescent="0.3">
      <c r="A4" s="36"/>
      <c r="B4" s="60"/>
      <c r="C4" s="61"/>
      <c r="D4" s="61"/>
      <c r="E4" s="61"/>
      <c r="F4" s="61"/>
      <c r="G4" s="61"/>
      <c r="H4" s="61"/>
      <c r="I4" s="61"/>
      <c r="J4" s="61"/>
      <c r="K4" s="61"/>
      <c r="L4" s="61"/>
      <c r="M4" s="80"/>
      <c r="N4" s="35"/>
      <c r="O4" s="35"/>
    </row>
    <row r="5" spans="1:15" ht="16.5" x14ac:dyDescent="0.3">
      <c r="A5" s="35"/>
      <c r="B5" s="62"/>
      <c r="C5" s="61"/>
      <c r="D5" s="61"/>
      <c r="E5" s="61"/>
      <c r="F5" s="61"/>
      <c r="G5" s="61"/>
      <c r="H5" s="61"/>
      <c r="I5" s="61"/>
      <c r="J5" s="61"/>
      <c r="K5" s="61"/>
      <c r="L5" s="61"/>
      <c r="M5" s="80"/>
      <c r="N5" s="35"/>
      <c r="O5" s="35"/>
    </row>
    <row r="6" spans="1:15" ht="16.5" x14ac:dyDescent="0.3">
      <c r="A6" s="35"/>
      <c r="B6" s="63"/>
      <c r="C6" s="61"/>
      <c r="D6" s="61"/>
      <c r="E6" s="61"/>
      <c r="F6" s="61"/>
      <c r="G6" s="61"/>
      <c r="H6" s="61"/>
      <c r="I6" s="64"/>
      <c r="J6" s="64"/>
      <c r="K6" s="64"/>
      <c r="L6" s="64"/>
      <c r="M6" s="81"/>
      <c r="N6" s="35"/>
      <c r="O6" s="35"/>
    </row>
    <row r="7" spans="1:15" ht="15.75" x14ac:dyDescent="0.3">
      <c r="A7" s="38"/>
      <c r="B7" s="65"/>
      <c r="C7" s="66"/>
      <c r="D7" s="67"/>
      <c r="E7" s="67"/>
      <c r="F7" s="67"/>
      <c r="G7" s="67"/>
      <c r="H7" s="67"/>
      <c r="I7" s="67"/>
      <c r="J7" s="67"/>
      <c r="K7" s="67"/>
      <c r="L7" s="67"/>
      <c r="M7" s="82"/>
      <c r="N7" s="38"/>
      <c r="O7" s="35"/>
    </row>
    <row r="8" spans="1:15" ht="15.75" x14ac:dyDescent="0.3">
      <c r="A8" s="38"/>
      <c r="B8" s="65"/>
      <c r="C8" s="66"/>
      <c r="D8" s="67"/>
      <c r="E8" s="67"/>
      <c r="F8" s="67"/>
      <c r="G8" s="67"/>
      <c r="H8" s="67"/>
      <c r="I8" s="67"/>
      <c r="J8" s="67"/>
      <c r="K8" s="67"/>
      <c r="L8" s="67"/>
      <c r="M8" s="82"/>
      <c r="N8" s="38"/>
      <c r="O8" s="35"/>
    </row>
    <row r="9" spans="1:15" ht="15.75" x14ac:dyDescent="0.3">
      <c r="A9" s="38"/>
      <c r="B9" s="68"/>
      <c r="C9" s="67"/>
      <c r="D9" s="67"/>
      <c r="E9" s="67"/>
      <c r="F9" s="67"/>
      <c r="G9" s="67"/>
      <c r="H9" s="67"/>
      <c r="I9" s="69"/>
      <c r="J9" s="69"/>
      <c r="K9" s="69"/>
      <c r="L9" s="69"/>
      <c r="M9" s="83"/>
      <c r="N9" s="38"/>
      <c r="O9" s="35"/>
    </row>
    <row r="10" spans="1:15" ht="15.75" x14ac:dyDescent="0.3">
      <c r="A10" s="38"/>
      <c r="B10" s="68"/>
      <c r="C10" s="67"/>
      <c r="D10" s="67"/>
      <c r="E10" s="67"/>
      <c r="F10" s="70"/>
      <c r="G10" s="67"/>
      <c r="H10" s="67"/>
      <c r="I10" s="71"/>
      <c r="J10" s="71"/>
      <c r="K10" s="71"/>
      <c r="L10" s="71"/>
      <c r="M10" s="84"/>
      <c r="N10" s="38"/>
      <c r="O10" s="35"/>
    </row>
    <row r="11" spans="1:15" ht="15.75" x14ac:dyDescent="0.3">
      <c r="A11" s="38"/>
      <c r="B11" s="68"/>
      <c r="C11" s="67"/>
      <c r="D11" s="67"/>
      <c r="E11" s="67"/>
      <c r="F11" s="67"/>
      <c r="G11" s="67"/>
      <c r="H11" s="67"/>
      <c r="I11" s="69"/>
      <c r="J11" s="69"/>
      <c r="K11" s="69"/>
      <c r="L11" s="69"/>
      <c r="M11" s="83"/>
      <c r="N11" s="38"/>
      <c r="O11" s="35"/>
    </row>
    <row r="12" spans="1:15" s="1" customFormat="1" ht="15.75" x14ac:dyDescent="0.3">
      <c r="A12" s="38"/>
      <c r="B12" s="68"/>
      <c r="C12" s="67"/>
      <c r="D12" s="67"/>
      <c r="E12" s="67"/>
      <c r="F12" s="67"/>
      <c r="G12" s="67"/>
      <c r="H12" s="67"/>
      <c r="I12" s="69"/>
      <c r="J12" s="69"/>
      <c r="K12" s="69"/>
      <c r="L12" s="69"/>
      <c r="M12" s="83"/>
      <c r="N12" s="38"/>
      <c r="O12" s="35"/>
    </row>
    <row r="13" spans="1:15" ht="15.75" x14ac:dyDescent="0.3">
      <c r="A13" s="38"/>
      <c r="B13" s="47"/>
      <c r="C13" s="3"/>
      <c r="D13" s="3"/>
      <c r="E13" s="3"/>
      <c r="F13" s="3"/>
      <c r="G13" s="3"/>
      <c r="H13" s="3"/>
      <c r="I13" s="8"/>
      <c r="J13" s="8"/>
      <c r="K13" s="8"/>
      <c r="L13" s="8"/>
      <c r="M13" s="76"/>
      <c r="N13" s="38"/>
      <c r="O13" s="35"/>
    </row>
    <row r="14" spans="1:15" s="1" customFormat="1" ht="27" x14ac:dyDescent="0.5">
      <c r="A14" s="38"/>
      <c r="B14" s="46"/>
      <c r="C14" s="41" t="s">
        <v>18</v>
      </c>
      <c r="D14" s="85"/>
      <c r="E14" s="85"/>
      <c r="F14" s="85"/>
      <c r="G14" s="85"/>
      <c r="H14" s="85"/>
      <c r="I14" s="4"/>
      <c r="J14" s="4"/>
      <c r="K14" s="4"/>
      <c r="L14" s="4"/>
      <c r="M14" s="77"/>
      <c r="N14" s="38"/>
      <c r="O14" s="35"/>
    </row>
    <row r="15" spans="1:15" ht="15.75" x14ac:dyDescent="0.3">
      <c r="A15" s="38"/>
      <c r="B15" s="48"/>
      <c r="C15" s="85"/>
      <c r="D15" s="85"/>
      <c r="E15" s="85"/>
      <c r="F15" s="85"/>
      <c r="G15" s="85"/>
      <c r="H15" s="85"/>
      <c r="I15" s="10"/>
      <c r="J15" s="10"/>
      <c r="K15" s="10"/>
      <c r="L15" s="10"/>
      <c r="M15" s="75"/>
      <c r="N15" s="38"/>
      <c r="O15" s="35"/>
    </row>
    <row r="16" spans="1:15" ht="16.5" x14ac:dyDescent="0.3">
      <c r="A16" s="38"/>
      <c r="B16" s="46"/>
      <c r="C16" s="39"/>
      <c r="D16" s="39"/>
      <c r="E16" s="39"/>
      <c r="F16" s="39"/>
      <c r="G16" s="85"/>
      <c r="H16" s="85"/>
      <c r="I16" s="4"/>
      <c r="J16" s="4"/>
      <c r="K16" s="4"/>
      <c r="L16" s="4"/>
      <c r="M16" s="77"/>
      <c r="N16" s="38"/>
      <c r="O16" s="35"/>
    </row>
    <row r="17" spans="1:15" ht="18" x14ac:dyDescent="0.35">
      <c r="A17" s="38"/>
      <c r="B17" s="46"/>
      <c r="C17" s="40" t="s">
        <v>17</v>
      </c>
      <c r="D17" s="37"/>
      <c r="E17" s="37"/>
      <c r="F17" s="37"/>
      <c r="G17" s="85"/>
      <c r="H17" s="85"/>
      <c r="I17" s="9"/>
      <c r="J17" s="9"/>
      <c r="K17" s="9"/>
      <c r="L17" s="9"/>
      <c r="M17" s="78"/>
      <c r="N17" s="38"/>
      <c r="O17" s="35"/>
    </row>
    <row r="18" spans="1:15" ht="16.5" x14ac:dyDescent="0.3">
      <c r="A18" s="38"/>
      <c r="B18" s="46"/>
      <c r="C18" s="181"/>
      <c r="D18" s="167"/>
      <c r="E18" s="167"/>
      <c r="F18" s="167"/>
      <c r="G18" s="166"/>
      <c r="H18" s="166"/>
      <c r="I18" s="116"/>
      <c r="J18" s="116"/>
      <c r="K18" s="116"/>
      <c r="L18" s="116"/>
      <c r="M18" s="78"/>
      <c r="N18" s="38"/>
      <c r="O18" s="35"/>
    </row>
    <row r="19" spans="1:15" ht="15.75" x14ac:dyDescent="0.3">
      <c r="A19" s="38"/>
      <c r="B19" s="49"/>
      <c r="C19" s="169" t="s">
        <v>19</v>
      </c>
      <c r="D19" s="167"/>
      <c r="E19" s="167"/>
      <c r="F19" s="169" t="s">
        <v>161</v>
      </c>
      <c r="G19" s="166"/>
      <c r="H19" s="170" t="s">
        <v>202</v>
      </c>
      <c r="I19" s="166"/>
      <c r="J19" s="166"/>
      <c r="K19" s="166"/>
      <c r="L19" s="166"/>
      <c r="M19" s="74"/>
      <c r="N19" s="38"/>
      <c r="O19" s="35"/>
    </row>
    <row r="20" spans="1:15" ht="15.75" x14ac:dyDescent="0.3">
      <c r="A20" s="38"/>
      <c r="B20" s="49"/>
      <c r="C20" s="169" t="s">
        <v>160</v>
      </c>
      <c r="D20" s="167"/>
      <c r="E20" s="167"/>
      <c r="F20" s="169" t="s">
        <v>131</v>
      </c>
      <c r="G20" s="166"/>
      <c r="H20" s="171" t="s">
        <v>243</v>
      </c>
      <c r="I20" s="166"/>
      <c r="J20" s="166"/>
      <c r="K20" s="166"/>
      <c r="L20" s="166"/>
      <c r="M20" s="74"/>
      <c r="N20" s="38"/>
      <c r="O20" s="35"/>
    </row>
    <row r="21" spans="1:15" ht="16.5" x14ac:dyDescent="0.3">
      <c r="A21" s="36"/>
      <c r="B21" s="45"/>
      <c r="C21" s="169" t="s">
        <v>41</v>
      </c>
      <c r="D21" s="167"/>
      <c r="E21" s="167"/>
      <c r="F21" s="169" t="s">
        <v>141</v>
      </c>
      <c r="G21" s="166"/>
      <c r="H21" s="171" t="s">
        <v>254</v>
      </c>
      <c r="I21" s="166"/>
      <c r="J21" s="166"/>
      <c r="K21" s="166"/>
      <c r="L21" s="166"/>
      <c r="M21" s="73"/>
      <c r="N21" s="35"/>
      <c r="O21" s="35"/>
    </row>
    <row r="22" spans="1:15" ht="16.5" x14ac:dyDescent="0.3">
      <c r="A22" s="35"/>
      <c r="B22" s="45"/>
      <c r="C22" s="169" t="s">
        <v>79</v>
      </c>
      <c r="D22" s="168"/>
      <c r="E22" s="168"/>
      <c r="F22" s="169" t="s">
        <v>156</v>
      </c>
      <c r="G22" s="166"/>
      <c r="H22" s="166"/>
      <c r="I22" s="166"/>
      <c r="J22" s="166"/>
      <c r="K22" s="166"/>
      <c r="L22" s="166"/>
      <c r="M22" s="73"/>
      <c r="N22" s="35"/>
      <c r="O22" s="35"/>
    </row>
    <row r="23" spans="1:15" s="1" customFormat="1" ht="16.5" x14ac:dyDescent="0.3">
      <c r="A23" s="35"/>
      <c r="B23" s="45"/>
      <c r="C23" s="169"/>
      <c r="D23" s="168"/>
      <c r="E23" s="168"/>
      <c r="F23" s="169"/>
      <c r="G23" s="166"/>
      <c r="H23" s="166"/>
      <c r="I23" s="166"/>
      <c r="J23" s="166"/>
      <c r="K23" s="166"/>
      <c r="L23" s="166"/>
      <c r="M23" s="73"/>
      <c r="N23" s="35"/>
      <c r="O23" s="35"/>
    </row>
    <row r="24" spans="1:15" ht="16.5" x14ac:dyDescent="0.3">
      <c r="A24" s="35"/>
      <c r="B24" s="45"/>
      <c r="C24" s="166"/>
      <c r="D24" s="166"/>
      <c r="E24" s="166"/>
      <c r="F24" s="166"/>
      <c r="G24" s="166"/>
      <c r="H24" s="166"/>
      <c r="I24" s="166"/>
      <c r="J24" s="166"/>
      <c r="K24" s="166"/>
      <c r="L24" s="166"/>
      <c r="M24" s="73"/>
      <c r="N24" s="35"/>
      <c r="O24" s="35"/>
    </row>
    <row r="25" spans="1:15" ht="16.5" x14ac:dyDescent="0.3">
      <c r="A25" s="35"/>
      <c r="B25" s="45"/>
      <c r="C25" s="2"/>
      <c r="D25" s="2"/>
      <c r="E25" s="2"/>
      <c r="F25" s="2"/>
      <c r="G25" s="2"/>
      <c r="H25" s="2"/>
      <c r="I25" s="2"/>
      <c r="J25" s="2"/>
      <c r="K25" s="2"/>
      <c r="L25" s="2"/>
      <c r="M25" s="73"/>
      <c r="N25" s="35"/>
      <c r="O25" s="35"/>
    </row>
    <row r="26" spans="1:15" x14ac:dyDescent="0.25">
      <c r="A26" s="35"/>
      <c r="B26" s="43"/>
      <c r="C26" s="72"/>
      <c r="D26" s="72"/>
      <c r="E26" s="72"/>
      <c r="F26" s="72"/>
      <c r="G26" s="72"/>
      <c r="H26" s="72"/>
      <c r="I26" s="72"/>
      <c r="J26" s="72"/>
      <c r="K26" s="72"/>
      <c r="L26" s="72"/>
      <c r="M26" s="44"/>
      <c r="N26" s="35"/>
      <c r="O26" s="35"/>
    </row>
    <row r="27" spans="1:15" x14ac:dyDescent="0.25">
      <c r="A27" s="35"/>
      <c r="B27" s="43"/>
      <c r="C27" s="72"/>
      <c r="D27" s="72"/>
      <c r="E27" s="72"/>
      <c r="F27" s="72"/>
      <c r="G27" s="72"/>
      <c r="H27" s="72"/>
      <c r="I27" s="72"/>
      <c r="J27" s="72"/>
      <c r="K27" s="72"/>
      <c r="L27" s="72"/>
      <c r="M27" s="44"/>
      <c r="N27" s="35"/>
      <c r="O27" s="35"/>
    </row>
    <row r="28" spans="1:15" x14ac:dyDescent="0.25">
      <c r="A28" s="35"/>
      <c r="B28" s="43"/>
      <c r="C28" s="72"/>
      <c r="D28" s="72"/>
      <c r="E28" s="72"/>
      <c r="F28" s="72"/>
      <c r="G28" s="72"/>
      <c r="H28" s="72"/>
      <c r="I28" s="72"/>
      <c r="J28" s="72"/>
      <c r="K28" s="72"/>
      <c r="L28" s="72"/>
      <c r="M28" s="44"/>
      <c r="N28" s="35"/>
      <c r="O28" s="35"/>
    </row>
    <row r="29" spans="1:15" x14ac:dyDescent="0.25">
      <c r="A29" s="35"/>
      <c r="B29" s="43"/>
      <c r="C29" s="72"/>
      <c r="D29" s="72"/>
      <c r="E29" s="72"/>
      <c r="F29" s="72"/>
      <c r="G29" s="72"/>
      <c r="H29" s="72"/>
      <c r="I29" s="72"/>
      <c r="J29" s="72"/>
      <c r="K29" s="72"/>
      <c r="L29" s="72"/>
      <c r="M29" s="44"/>
      <c r="N29" s="35"/>
      <c r="O29" s="35"/>
    </row>
    <row r="30" spans="1:15" x14ac:dyDescent="0.25">
      <c r="B30" s="50"/>
      <c r="C30" s="72"/>
      <c r="D30" s="72"/>
      <c r="E30" s="72"/>
      <c r="F30" s="72"/>
      <c r="G30" s="72"/>
      <c r="H30" s="72"/>
      <c r="I30" s="72"/>
      <c r="J30" s="72"/>
      <c r="K30" s="72"/>
      <c r="L30" s="72"/>
      <c r="M30" s="44"/>
      <c r="N30" s="35"/>
      <c r="O30" s="35"/>
    </row>
    <row r="31" spans="1:15" x14ac:dyDescent="0.25">
      <c r="B31" s="50"/>
      <c r="C31" s="72"/>
      <c r="D31" s="72"/>
      <c r="E31" s="72"/>
      <c r="F31" s="72"/>
      <c r="G31" s="72"/>
      <c r="H31" s="72"/>
      <c r="I31" s="72"/>
      <c r="J31" s="72"/>
      <c r="K31" s="72"/>
      <c r="L31" s="72"/>
      <c r="M31" s="44"/>
      <c r="N31" s="35"/>
      <c r="O31" s="35"/>
    </row>
    <row r="32" spans="1:15" x14ac:dyDescent="0.25">
      <c r="B32" s="50"/>
      <c r="C32" s="72"/>
      <c r="D32" s="72"/>
      <c r="E32" s="72"/>
      <c r="F32" s="72"/>
      <c r="G32" s="72"/>
      <c r="H32" s="72"/>
      <c r="I32" s="72"/>
      <c r="J32" s="72"/>
      <c r="K32" s="72"/>
      <c r="L32" s="72"/>
      <c r="M32" s="44"/>
      <c r="N32" s="35"/>
      <c r="O32" s="35"/>
    </row>
    <row r="33" spans="2:15" x14ac:dyDescent="0.25">
      <c r="B33" s="50"/>
      <c r="C33" s="72"/>
      <c r="D33" s="72"/>
      <c r="E33" s="72"/>
      <c r="F33" s="72"/>
      <c r="G33" s="72"/>
      <c r="H33" s="72"/>
      <c r="I33" s="72"/>
      <c r="J33" s="72"/>
      <c r="K33" s="72"/>
      <c r="L33" s="72"/>
      <c r="M33" s="44"/>
      <c r="N33" s="35"/>
      <c r="O33" s="35"/>
    </row>
    <row r="34" spans="2:15" x14ac:dyDescent="0.25">
      <c r="B34" s="50"/>
      <c r="C34" s="72"/>
      <c r="D34" s="72"/>
      <c r="E34" s="72"/>
      <c r="F34" s="72"/>
      <c r="G34" s="72"/>
      <c r="H34" s="72"/>
      <c r="I34" s="72"/>
      <c r="J34" s="72"/>
      <c r="K34" s="72"/>
      <c r="L34" s="72"/>
      <c r="M34" s="44"/>
      <c r="N34" s="35"/>
      <c r="O34" s="35"/>
    </row>
    <row r="35" spans="2:15" x14ac:dyDescent="0.25">
      <c r="B35" s="50"/>
      <c r="C35" s="72"/>
      <c r="D35" s="72"/>
      <c r="E35" s="72"/>
      <c r="F35" s="72"/>
      <c r="G35" s="72"/>
      <c r="H35" s="72"/>
      <c r="I35" s="72"/>
      <c r="J35" s="72"/>
      <c r="K35" s="72"/>
      <c r="L35" s="72"/>
      <c r="M35" s="44"/>
      <c r="N35" s="35"/>
      <c r="O35" s="35"/>
    </row>
    <row r="36" spans="2:15" ht="15.75" thickBot="1" x14ac:dyDescent="0.3">
      <c r="B36" s="51"/>
      <c r="C36" s="52"/>
      <c r="D36" s="52"/>
      <c r="E36" s="52"/>
      <c r="F36" s="52"/>
      <c r="G36" s="52"/>
      <c r="H36" s="52"/>
      <c r="I36" s="52"/>
      <c r="J36" s="52"/>
      <c r="K36" s="52"/>
      <c r="L36" s="52"/>
      <c r="M36" s="79"/>
      <c r="N36" s="35"/>
      <c r="O36" s="35"/>
    </row>
    <row r="37" spans="2:15" x14ac:dyDescent="0.25">
      <c r="M37" s="35"/>
      <c r="N37" s="35"/>
      <c r="O37" s="35"/>
    </row>
  </sheetData>
  <hyperlinks>
    <hyperlink ref="C19" location="Dashboard!A1" display="Dashboard" xr:uid="{89D3DEDA-F8BD-4844-8344-0A4D9DD75D97}"/>
    <hyperlink ref="C20" location="'Statement of Income'!A1" display="Statement of Income" xr:uid="{220A6EBE-A61D-4227-850F-ED2013A25EF9}"/>
    <hyperlink ref="C21" location="'Statement of Financial Position'!A1" display="Statement of Financial Position" xr:uid="{533F6975-BFB3-4D96-BC08-0AE347DFE20C}"/>
    <hyperlink ref="C22" location="'Statement of Cash Flows'!A1" display="Statement of Cash Flows" xr:uid="{CD1B337F-F561-4936-B4C3-2A5BCEE83020}"/>
    <hyperlink ref="F19" location="'Segment Analysis'!A1" display="Segment Analysis" xr:uid="{6BDE708D-8DBB-4D5F-8B9C-47700932054A}"/>
    <hyperlink ref="F20" location="'Mobility Analysis'!A1" display="Mobility Analysis" xr:uid="{EFD2FC2A-3AA7-4AB5-B254-3C9EA4E60E7D}"/>
    <hyperlink ref="F21" location="'Capital Intensity'!A1" display="Capital Intensity" xr:uid="{2DF91401-554D-46E9-A229-C7DB10AC8210}"/>
    <hyperlink ref="F22" location="'ROIC Analysis'!A1" display="ROIC Analysis" xr:uid="{D2694D3D-FFD9-4D50-8A56-C423D2B1E9C8}"/>
    <hyperlink ref="H19" location="'Operating Data'!A1" display="Operating Data" xr:uid="{2F59400A-97A4-4CF7-8451-F958B2DEEC73}"/>
    <hyperlink ref="H20" location="'Peer Comparison'!A1" display="Peer Comparison" xr:uid="{AB090CC2-B3B4-4C37-96EC-65808A030EB5}"/>
    <hyperlink ref="H21" location="'Outlook &amp; Valuation'!A1" display="Outlook &amp; Valuation" xr:uid="{F39EC73A-2970-4490-9CDF-EC1C59D97821}"/>
  </hyperlinks>
  <printOptions horizontalCentered="1" verticalCentered="1"/>
  <pageMargins left="0.2" right="0.2" top="0.2" bottom="0.2" header="0.3" footer="0.1"/>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howOutlineSymbols="0"/>
    <pageSetUpPr autoPageBreaks="0"/>
  </sheetPr>
  <dimension ref="A1:N24"/>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6384" width="9.140625" style="194"/>
  </cols>
  <sheetData>
    <row r="1" spans="1:14" ht="6" customHeight="1" x14ac:dyDescent="0.3"/>
    <row r="2" spans="1:14" ht="39.950000000000003" customHeight="1" x14ac:dyDescent="0.3">
      <c r="B2" s="195"/>
      <c r="C2" s="195"/>
      <c r="D2" s="241" t="s">
        <v>28</v>
      </c>
      <c r="E2" s="195"/>
      <c r="F2" s="195"/>
      <c r="G2" s="195"/>
      <c r="H2" s="195"/>
      <c r="I2" s="196"/>
      <c r="J2" s="195"/>
      <c r="K2" s="195"/>
      <c r="L2" s="195"/>
      <c r="M2" s="195"/>
      <c r="N2" s="195"/>
    </row>
    <row r="4" spans="1:14" x14ac:dyDescent="0.3">
      <c r="A4" s="194" t="s">
        <v>29</v>
      </c>
      <c r="B4" s="197" t="s">
        <v>19</v>
      </c>
      <c r="C4" s="198"/>
      <c r="D4" s="198"/>
      <c r="E4" s="198"/>
      <c r="F4" s="198"/>
      <c r="G4" s="198"/>
      <c r="H4" s="198"/>
      <c r="I4" s="198"/>
      <c r="J4" s="198"/>
      <c r="K4" s="198"/>
      <c r="L4" s="198"/>
      <c r="M4" s="198"/>
      <c r="N4" s="198"/>
    </row>
    <row r="6" spans="1:14" ht="17.25" thickBot="1" x14ac:dyDescent="0.35">
      <c r="B6" s="240" t="s">
        <v>20</v>
      </c>
      <c r="H6" s="199"/>
      <c r="I6" s="200">
        <v>2021</v>
      </c>
      <c r="J6" s="200">
        <f>I6+1</f>
        <v>2022</v>
      </c>
      <c r="K6" s="200">
        <f t="shared" ref="K6:M6" si="0">J6+1</f>
        <v>2023</v>
      </c>
      <c r="L6" s="200">
        <f t="shared" si="0"/>
        <v>2024</v>
      </c>
      <c r="M6" s="200">
        <f t="shared" si="0"/>
        <v>2025</v>
      </c>
    </row>
    <row r="7" spans="1:14" x14ac:dyDescent="0.3">
      <c r="A7" s="13"/>
      <c r="B7" s="11"/>
      <c r="C7" s="12"/>
      <c r="D7" s="13"/>
      <c r="E7" s="13"/>
      <c r="F7" s="13"/>
      <c r="G7" s="13"/>
      <c r="H7" s="13"/>
      <c r="I7" s="13"/>
      <c r="J7" s="13"/>
      <c r="K7" s="13"/>
      <c r="L7" s="13"/>
      <c r="M7" s="13"/>
      <c r="N7" s="13"/>
    </row>
    <row r="8" spans="1:14" x14ac:dyDescent="0.3">
      <c r="A8" s="13"/>
      <c r="B8" s="11" t="s">
        <v>26</v>
      </c>
      <c r="C8" s="12"/>
      <c r="D8" s="13"/>
      <c r="E8" s="13"/>
      <c r="F8" s="13"/>
      <c r="G8" s="13"/>
      <c r="H8" s="13"/>
      <c r="I8" s="13"/>
      <c r="J8" s="13"/>
      <c r="K8" s="13"/>
      <c r="L8" s="13"/>
      <c r="M8" s="13"/>
      <c r="N8" s="13"/>
    </row>
    <row r="9" spans="1:14" x14ac:dyDescent="0.3">
      <c r="A9" s="13"/>
      <c r="B9" s="14" t="s">
        <v>21</v>
      </c>
      <c r="C9" s="5"/>
      <c r="D9" s="5"/>
      <c r="E9" s="5"/>
      <c r="F9" s="5"/>
      <c r="G9" s="5"/>
      <c r="H9" s="5"/>
      <c r="I9" s="32">
        <f>'Statement of Income'!I9</f>
        <v>133893</v>
      </c>
      <c r="J9" s="32">
        <f>'Statement of Income'!J9</f>
        <v>150017</v>
      </c>
      <c r="K9" s="32">
        <f>'Statement of Income'!K9</f>
        <v>152390</v>
      </c>
      <c r="L9" s="32">
        <f>'Statement of Income'!L9</f>
        <v>145594</v>
      </c>
      <c r="M9" s="32">
        <f>'Statement of Income'!M9</f>
        <v>132214</v>
      </c>
      <c r="N9" s="13"/>
    </row>
    <row r="10" spans="1:14" s="133" customFormat="1" x14ac:dyDescent="0.3">
      <c r="A10" s="5"/>
      <c r="B10" s="14" t="s">
        <v>23</v>
      </c>
      <c r="C10" s="5"/>
      <c r="D10" s="5"/>
      <c r="E10" s="5"/>
      <c r="F10" s="5"/>
      <c r="G10" s="5"/>
      <c r="H10" s="5"/>
      <c r="I10" s="32">
        <f>'Statement of Income'!I21</f>
        <v>16028.229100849185</v>
      </c>
      <c r="J10" s="32">
        <f>'Statement of Income'!J21</f>
        <v>20458.226774298913</v>
      </c>
      <c r="K10" s="32">
        <f>'Statement of Income'!K21</f>
        <v>19660.229700111558</v>
      </c>
      <c r="L10" s="32">
        <f>'Statement of Income'!L21</f>
        <v>13599.196271824389</v>
      </c>
      <c r="M10" s="32">
        <f>'Statement of Income'!M21</f>
        <v>5820.1689155460081</v>
      </c>
      <c r="N10" s="5"/>
    </row>
    <row r="11" spans="1:14" s="133" customFormat="1" x14ac:dyDescent="0.3">
      <c r="A11" s="5"/>
      <c r="B11" s="14" t="s">
        <v>130</v>
      </c>
      <c r="C11" s="5"/>
      <c r="D11" s="5"/>
      <c r="E11" s="5"/>
      <c r="F11" s="5"/>
      <c r="G11" s="5"/>
      <c r="H11" s="5"/>
      <c r="I11" s="32">
        <f>'Segment Analysis'!I28</f>
        <v>17158</v>
      </c>
      <c r="J11" s="32">
        <f>'Segment Analysis'!J28</f>
        <v>20655</v>
      </c>
      <c r="K11" s="32">
        <f>'Segment Analysis'!K28</f>
        <v>20004</v>
      </c>
      <c r="L11" s="32">
        <f>'Segment Analysis'!L28</f>
        <v>13713</v>
      </c>
      <c r="M11" s="32">
        <f>'Segment Analysis'!M28</f>
        <v>8235</v>
      </c>
      <c r="N11" s="5"/>
    </row>
    <row r="12" spans="1:14" s="133" customFormat="1" x14ac:dyDescent="0.3">
      <c r="A12" s="5"/>
      <c r="B12" s="242" t="s">
        <v>210</v>
      </c>
      <c r="C12" s="5"/>
      <c r="D12" s="5"/>
      <c r="E12" s="5"/>
      <c r="F12" s="5"/>
      <c r="G12" s="5"/>
      <c r="H12" s="5"/>
      <c r="I12" s="89">
        <f>I11/I9</f>
        <v>0.12814710253710052</v>
      </c>
      <c r="J12" s="89">
        <f t="shared" ref="J12:M12" si="1">J11/J9</f>
        <v>0.13768439576847957</v>
      </c>
      <c r="K12" s="89">
        <f t="shared" si="1"/>
        <v>0.13126845593542882</v>
      </c>
      <c r="L12" s="89">
        <f t="shared" si="1"/>
        <v>9.4186573622539391E-2</v>
      </c>
      <c r="M12" s="89">
        <f t="shared" si="1"/>
        <v>6.2285385813907752E-2</v>
      </c>
      <c r="N12" s="5"/>
    </row>
    <row r="13" spans="1:14" s="133" customFormat="1" x14ac:dyDescent="0.3">
      <c r="A13" s="5"/>
      <c r="B13" s="14" t="s">
        <v>163</v>
      </c>
      <c r="C13" s="5"/>
      <c r="D13" s="5"/>
      <c r="E13" s="5"/>
      <c r="F13" s="5"/>
      <c r="G13" s="5"/>
      <c r="H13" s="5"/>
      <c r="I13" s="32">
        <f>'Statement of Income'!I32</f>
        <v>11050.229100849185</v>
      </c>
      <c r="J13" s="32">
        <f>'Statement of Income'!J32</f>
        <v>14809.226774298913</v>
      </c>
      <c r="K13" s="32">
        <f>'Statement of Income'!K32</f>
        <v>14531.229700111558</v>
      </c>
      <c r="L13" s="32">
        <f>'Statement of Income'!L32</f>
        <v>10409.196271824389</v>
      </c>
      <c r="M13" s="32">
        <f>'Statement of Income'!M32</f>
        <v>5331.1689155460081</v>
      </c>
      <c r="N13" s="5"/>
    </row>
    <row r="14" spans="1:14" x14ac:dyDescent="0.3">
      <c r="A14" s="13"/>
      <c r="B14" s="14" t="s">
        <v>22</v>
      </c>
      <c r="C14" s="5"/>
      <c r="D14" s="5"/>
      <c r="E14" s="5"/>
      <c r="F14" s="285" t="s">
        <v>27</v>
      </c>
      <c r="G14" s="5"/>
      <c r="H14" s="5"/>
      <c r="I14" s="276">
        <f>'Segment Analysis'!I12+('Segment Analysis'!I19/1000)</f>
        <v>2.3262</v>
      </c>
      <c r="J14" s="276">
        <f>'Segment Analysis'!J12+('Segment Analysis'!J19/1000)</f>
        <v>2.4553000000000003</v>
      </c>
      <c r="K14" s="276">
        <f>'Segment Analysis'!K12+('Segment Analysis'!K19/1000)</f>
        <v>2.4878</v>
      </c>
      <c r="L14" s="276">
        <f>'Segment Analysis'!L12+('Segment Analysis'!L19/1000)</f>
        <v>2.3856099999999998</v>
      </c>
      <c r="M14" s="276">
        <f>'Segment Analysis'!M12+('Segment Analysis'!M19/1000)</f>
        <v>2.1591360000000002</v>
      </c>
      <c r="N14" s="13"/>
    </row>
    <row r="15" spans="1:14" s="133" customFormat="1" x14ac:dyDescent="0.3">
      <c r="A15" s="5"/>
      <c r="B15" s="14" t="s">
        <v>7</v>
      </c>
      <c r="C15" s="5"/>
      <c r="D15" s="5"/>
      <c r="E15" s="5"/>
      <c r="F15" s="5"/>
      <c r="G15" s="5"/>
      <c r="H15" s="5"/>
      <c r="I15" s="32">
        <f>'Capital Intensity'!I33</f>
        <v>7880</v>
      </c>
      <c r="J15" s="32">
        <f>'Capital Intensity'!J33</f>
        <v>8128</v>
      </c>
      <c r="K15" s="32">
        <f>'Capital Intensity'!K33</f>
        <v>11316</v>
      </c>
      <c r="L15" s="32">
        <f>'Capital Intensity'!L33</f>
        <v>9152</v>
      </c>
      <c r="M15" s="32">
        <f>'Capital Intensity'!M33</f>
        <v>5414</v>
      </c>
      <c r="N15" s="5"/>
    </row>
    <row r="16" spans="1:14" x14ac:dyDescent="0.3">
      <c r="A16" s="13"/>
      <c r="B16" s="243" t="s">
        <v>143</v>
      </c>
      <c r="C16" s="5"/>
      <c r="D16" s="5"/>
      <c r="E16" s="5"/>
      <c r="F16" s="5"/>
      <c r="G16" s="5"/>
      <c r="H16" s="5"/>
      <c r="I16" s="32">
        <f>'Capital Intensity'!I34</f>
        <v>10125</v>
      </c>
      <c r="J16" s="32">
        <f>'Capital Intensity'!J34</f>
        <v>9294</v>
      </c>
      <c r="K16" s="32">
        <f>'Capital Intensity'!K34</f>
        <v>11720</v>
      </c>
      <c r="L16" s="32">
        <f>'Capital Intensity'!L34</f>
        <v>9421</v>
      </c>
      <c r="M16" s="32">
        <f>'Capital Intensity'!M34</f>
        <v>5856</v>
      </c>
      <c r="N16" s="13"/>
    </row>
    <row r="17" spans="1:14" x14ac:dyDescent="0.3">
      <c r="A17" s="13"/>
      <c r="B17" s="14" t="s">
        <v>25</v>
      </c>
      <c r="C17" s="5"/>
      <c r="D17" s="5"/>
      <c r="E17" s="5"/>
      <c r="F17" s="5"/>
      <c r="G17" s="5"/>
      <c r="H17" s="5"/>
      <c r="I17" s="32">
        <f>-'Operating Data'!I57</f>
        <v>-21005</v>
      </c>
      <c r="J17" s="32">
        <f>-'Operating Data'!J57</f>
        <v>-26637</v>
      </c>
      <c r="K17" s="32">
        <f>-'Operating Data'!K57</f>
        <v>-31069</v>
      </c>
      <c r="L17" s="32">
        <f>-'Operating Data'!L57</f>
        <v>-31417</v>
      </c>
      <c r="M17" s="32">
        <f>-'Operating Data'!M57</f>
        <v>-32162</v>
      </c>
      <c r="N17" s="13"/>
    </row>
    <row r="18" spans="1:14" x14ac:dyDescent="0.3">
      <c r="A18" s="13"/>
      <c r="B18" s="14" t="s">
        <v>0</v>
      </c>
      <c r="C18" s="5"/>
      <c r="D18" s="5"/>
      <c r="E18" s="5"/>
      <c r="F18" s="5"/>
      <c r="G18" s="5"/>
      <c r="H18" s="5"/>
      <c r="I18" s="89">
        <f>'Segment Analysis'!I13</f>
        <v>0.16</v>
      </c>
      <c r="J18" s="89">
        <f>'Segment Analysis'!J13</f>
        <v>0.16</v>
      </c>
      <c r="K18" s="89">
        <f>'Segment Analysis'!K13</f>
        <v>0.16</v>
      </c>
      <c r="L18" s="89">
        <f>'Segment Analysis'!L13</f>
        <v>0.14000000000000001</v>
      </c>
      <c r="M18" s="89">
        <f>'Segment Analysis'!M13</f>
        <v>0.15</v>
      </c>
      <c r="N18" s="13"/>
    </row>
    <row r="19" spans="1:14" x14ac:dyDescent="0.3">
      <c r="A19" s="13"/>
      <c r="B19" s="143" t="s">
        <v>227</v>
      </c>
      <c r="C19" s="5"/>
      <c r="D19" s="5"/>
      <c r="E19" s="5"/>
      <c r="F19" s="5"/>
      <c r="G19" s="5"/>
      <c r="H19" s="5"/>
      <c r="I19" s="89">
        <f>'Operating Data'!I42</f>
        <v>0.11700000000000001</v>
      </c>
      <c r="J19" s="89">
        <f>'Operating Data'!J42</f>
        <v>0.16</v>
      </c>
      <c r="K19" s="89">
        <f>'Operating Data'!K42</f>
        <v>0.19700000000000001</v>
      </c>
      <c r="L19" s="89">
        <f>'Operating Data'!L42</f>
        <v>0.185</v>
      </c>
      <c r="M19" s="89">
        <f>'Operating Data'!M42</f>
        <v>0.20499999999999999</v>
      </c>
      <c r="N19" s="13"/>
    </row>
    <row r="20" spans="1:14" s="133" customFormat="1" x14ac:dyDescent="0.3">
      <c r="A20" s="5"/>
      <c r="B20" s="14"/>
      <c r="C20" s="5"/>
      <c r="D20" s="5"/>
      <c r="E20" s="5"/>
      <c r="F20" s="5"/>
      <c r="G20" s="5"/>
      <c r="H20" s="5"/>
      <c r="I20" s="116"/>
      <c r="J20" s="116"/>
      <c r="K20" s="116"/>
      <c r="L20" s="116"/>
      <c r="M20" s="116"/>
      <c r="N20" s="5"/>
    </row>
    <row r="21" spans="1:14" s="133" customFormat="1" x14ac:dyDescent="0.3">
      <c r="A21" s="5"/>
      <c r="B21" s="14"/>
      <c r="C21" s="244"/>
      <c r="D21" s="5"/>
      <c r="E21" s="5"/>
      <c r="F21" s="5"/>
      <c r="G21" s="5"/>
      <c r="H21" s="5"/>
      <c r="I21" s="116"/>
      <c r="J21" s="116"/>
      <c r="K21" s="116"/>
      <c r="L21" s="116"/>
      <c r="M21" s="116"/>
      <c r="N21" s="5"/>
    </row>
    <row r="22" spans="1:14" x14ac:dyDescent="0.3">
      <c r="A22" s="13"/>
      <c r="B22" s="244" t="s">
        <v>194</v>
      </c>
      <c r="D22" s="13"/>
      <c r="E22" s="13"/>
      <c r="F22" s="13"/>
      <c r="G22" s="13"/>
      <c r="H22" s="13"/>
      <c r="I22" s="13"/>
      <c r="J22" s="13"/>
      <c r="K22" s="13"/>
      <c r="L22" s="13"/>
      <c r="M22" s="13"/>
      <c r="N22" s="13"/>
    </row>
    <row r="23" spans="1:14" x14ac:dyDescent="0.3">
      <c r="A23" s="13"/>
      <c r="B23" s="13"/>
      <c r="C23" s="13"/>
      <c r="D23" s="13"/>
      <c r="E23" s="13"/>
      <c r="F23" s="13"/>
      <c r="G23" s="13"/>
      <c r="H23" s="13"/>
      <c r="I23" s="13"/>
      <c r="J23" s="13"/>
      <c r="K23" s="13"/>
      <c r="L23" s="13"/>
      <c r="M23" s="13"/>
      <c r="N23" s="13"/>
    </row>
    <row r="24" spans="1:14" x14ac:dyDescent="0.3">
      <c r="A24" s="194" t="s">
        <v>29</v>
      </c>
      <c r="B24" s="172"/>
      <c r="C24" s="172"/>
      <c r="D24" s="172"/>
      <c r="E24" s="172"/>
      <c r="F24" s="172"/>
      <c r="G24" s="172"/>
      <c r="H24" s="172"/>
      <c r="I24" s="172"/>
      <c r="J24" s="172"/>
      <c r="K24" s="172"/>
      <c r="L24" s="172"/>
      <c r="M24" s="172"/>
      <c r="N24" s="172"/>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04DC-C021-43DB-A66D-76D26399C60C}">
  <sheetPr>
    <outlinePr showOutlineSymbols="0"/>
    <pageSetUpPr autoPageBreaks="0"/>
  </sheetPr>
  <dimension ref="A1:N37"/>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6384" width="9.140625" style="194"/>
  </cols>
  <sheetData>
    <row r="1" spans="1:14" ht="6" customHeight="1" x14ac:dyDescent="0.3"/>
    <row r="2" spans="1:14" ht="39.950000000000003" customHeight="1" x14ac:dyDescent="0.3">
      <c r="B2" s="195"/>
      <c r="C2" s="195"/>
      <c r="D2" s="241" t="s">
        <v>28</v>
      </c>
      <c r="E2" s="195"/>
      <c r="F2" s="195"/>
      <c r="G2" s="195"/>
      <c r="H2" s="195"/>
      <c r="I2" s="196"/>
      <c r="J2" s="195"/>
      <c r="K2" s="195"/>
      <c r="L2" s="195"/>
      <c r="M2" s="195"/>
      <c r="N2" s="195"/>
    </row>
    <row r="4" spans="1:14" x14ac:dyDescent="0.3">
      <c r="A4" s="194" t="s">
        <v>29</v>
      </c>
      <c r="B4" s="197" t="s">
        <v>170</v>
      </c>
      <c r="C4" s="198"/>
      <c r="D4" s="198"/>
      <c r="E4" s="198"/>
      <c r="F4" s="198"/>
      <c r="G4" s="198"/>
      <c r="H4" s="198"/>
      <c r="I4" s="198"/>
      <c r="J4" s="198"/>
      <c r="K4" s="198"/>
      <c r="L4" s="198"/>
      <c r="M4" s="198"/>
      <c r="N4" s="198"/>
    </row>
    <row r="6" spans="1:14" ht="17.25" thickBot="1" x14ac:dyDescent="0.35">
      <c r="B6" s="240" t="s">
        <v>20</v>
      </c>
      <c r="H6" s="199"/>
      <c r="I6" s="200">
        <v>2021</v>
      </c>
      <c r="J6" s="200">
        <f>I6+1</f>
        <v>2022</v>
      </c>
      <c r="K6" s="200">
        <f t="shared" ref="K6:M6" si="0">J6+1</f>
        <v>2023</v>
      </c>
      <c r="L6" s="200">
        <f t="shared" si="0"/>
        <v>2024</v>
      </c>
      <c r="M6" s="200">
        <f t="shared" si="0"/>
        <v>2025</v>
      </c>
    </row>
    <row r="7" spans="1:14" x14ac:dyDescent="0.3">
      <c r="A7" s="13"/>
      <c r="B7" s="11"/>
      <c r="C7" s="12"/>
      <c r="D7" s="13"/>
      <c r="E7" s="13"/>
      <c r="F7" s="13"/>
      <c r="G7" s="13"/>
      <c r="H7" s="13"/>
      <c r="I7" s="13"/>
      <c r="J7" s="13"/>
      <c r="K7" s="13"/>
      <c r="L7" s="13"/>
      <c r="M7" s="13"/>
      <c r="N7" s="13"/>
    </row>
    <row r="8" spans="1:14" x14ac:dyDescent="0.3">
      <c r="A8" s="13"/>
      <c r="B8" s="11"/>
      <c r="C8" s="12"/>
      <c r="D8" s="13"/>
      <c r="E8" s="13"/>
      <c r="F8" s="13"/>
      <c r="G8" s="13"/>
      <c r="H8" s="13"/>
      <c r="I8" s="13"/>
      <c r="J8" s="13"/>
      <c r="K8" s="13"/>
      <c r="L8" s="13"/>
      <c r="M8" s="13"/>
      <c r="N8" s="13"/>
    </row>
    <row r="9" spans="1:14" x14ac:dyDescent="0.3">
      <c r="A9" s="13"/>
      <c r="B9" s="14" t="s">
        <v>21</v>
      </c>
      <c r="C9" s="5"/>
      <c r="D9" s="5"/>
      <c r="E9" s="5"/>
      <c r="F9" s="5"/>
      <c r="G9" s="5"/>
      <c r="H9" s="5"/>
      <c r="I9" s="15">
        <v>133893</v>
      </c>
      <c r="J9" s="15">
        <v>150017</v>
      </c>
      <c r="K9" s="15">
        <v>152390</v>
      </c>
      <c r="L9" s="15">
        <v>145594</v>
      </c>
      <c r="M9" s="15">
        <v>132214</v>
      </c>
      <c r="N9" s="13"/>
    </row>
    <row r="10" spans="1:14" x14ac:dyDescent="0.3">
      <c r="A10" s="13"/>
      <c r="B10" s="14" t="s">
        <v>30</v>
      </c>
      <c r="C10" s="5"/>
      <c r="D10" s="5"/>
      <c r="E10" s="5"/>
      <c r="F10" s="5"/>
      <c r="G10" s="5"/>
      <c r="H10" s="5"/>
      <c r="I10" s="15">
        <v>-103218</v>
      </c>
      <c r="J10" s="15">
        <v>-115997</v>
      </c>
      <c r="K10" s="15">
        <v>-117386</v>
      </c>
      <c r="L10" s="15">
        <v>-117018</v>
      </c>
      <c r="M10" s="15">
        <v>-109881</v>
      </c>
      <c r="N10" s="13"/>
    </row>
    <row r="11" spans="1:14" s="133" customFormat="1" x14ac:dyDescent="0.3">
      <c r="A11" s="5"/>
      <c r="B11" s="16" t="s">
        <v>2</v>
      </c>
      <c r="C11" s="17"/>
      <c r="D11" s="17"/>
      <c r="E11" s="17"/>
      <c r="F11" s="17"/>
      <c r="G11" s="17"/>
      <c r="H11" s="17"/>
      <c r="I11" s="18">
        <f t="shared" ref="I11:M11" si="1">SUM(I9:I10)</f>
        <v>30675</v>
      </c>
      <c r="J11" s="18">
        <f t="shared" si="1"/>
        <v>34020</v>
      </c>
      <c r="K11" s="18">
        <f t="shared" si="1"/>
        <v>35004</v>
      </c>
      <c r="L11" s="18">
        <f t="shared" si="1"/>
        <v>28576</v>
      </c>
      <c r="M11" s="18">
        <f t="shared" si="1"/>
        <v>22333</v>
      </c>
      <c r="N11" s="5"/>
    </row>
    <row r="12" spans="1:14" s="133" customFormat="1" x14ac:dyDescent="0.3">
      <c r="A12" s="5"/>
      <c r="B12" s="6" t="s">
        <v>113</v>
      </c>
      <c r="C12" s="5"/>
      <c r="D12" s="5"/>
      <c r="E12" s="5"/>
      <c r="F12" s="5"/>
      <c r="G12" s="5"/>
      <c r="H12" s="5"/>
      <c r="I12" s="7">
        <f>I11/I9</f>
        <v>0.22910084918554369</v>
      </c>
      <c r="J12" s="7">
        <f t="shared" ref="J12:M12" si="2">J11/J9</f>
        <v>0.22677429891278988</v>
      </c>
      <c r="K12" s="7">
        <f t="shared" si="2"/>
        <v>0.22970011155587636</v>
      </c>
      <c r="L12" s="7">
        <f t="shared" si="2"/>
        <v>0.19627182438836765</v>
      </c>
      <c r="M12" s="7">
        <f t="shared" si="2"/>
        <v>0.16891554600874339</v>
      </c>
      <c r="N12" s="5"/>
    </row>
    <row r="13" spans="1:14" s="133" customFormat="1" x14ac:dyDescent="0.3">
      <c r="A13" s="5"/>
      <c r="B13" s="6"/>
      <c r="C13" s="5"/>
      <c r="D13" s="5"/>
      <c r="E13" s="5"/>
      <c r="F13" s="5"/>
      <c r="G13" s="5"/>
      <c r="H13" s="5"/>
      <c r="I13" s="7"/>
      <c r="J13" s="7"/>
      <c r="K13" s="7"/>
      <c r="L13" s="7"/>
      <c r="M13" s="7"/>
      <c r="N13" s="5"/>
    </row>
    <row r="14" spans="1:14" x14ac:dyDescent="0.3">
      <c r="A14" s="13"/>
      <c r="B14" s="14" t="s">
        <v>31</v>
      </c>
      <c r="C14" s="5"/>
      <c r="D14" s="5"/>
      <c r="E14" s="5"/>
      <c r="F14" s="5"/>
      <c r="G14" s="5"/>
      <c r="H14" s="5"/>
      <c r="I14" s="15">
        <v>-9194</v>
      </c>
      <c r="J14" s="15">
        <v>-9482</v>
      </c>
      <c r="K14" s="15">
        <v>-10270</v>
      </c>
      <c r="L14" s="15">
        <v>-9993</v>
      </c>
      <c r="M14" s="15">
        <v>-9718</v>
      </c>
      <c r="N14" s="13"/>
    </row>
    <row r="15" spans="1:14" s="133" customFormat="1" x14ac:dyDescent="0.3">
      <c r="A15" s="5"/>
      <c r="B15" s="14" t="s">
        <v>32</v>
      </c>
      <c r="C15" s="5"/>
      <c r="D15" s="5"/>
      <c r="E15" s="5"/>
      <c r="F15" s="5"/>
      <c r="G15" s="5"/>
      <c r="H15" s="5"/>
      <c r="I15" s="15">
        <v>-2808</v>
      </c>
      <c r="J15" s="15">
        <v>-2584</v>
      </c>
      <c r="K15" s="15">
        <v>-2771</v>
      </c>
      <c r="L15" s="15">
        <v>-2529</v>
      </c>
      <c r="M15" s="15">
        <v>-2477</v>
      </c>
      <c r="N15" s="5"/>
    </row>
    <row r="16" spans="1:14" x14ac:dyDescent="0.3">
      <c r="A16" s="13"/>
      <c r="B16" s="14" t="s">
        <v>33</v>
      </c>
      <c r="C16" s="5"/>
      <c r="D16" s="5"/>
      <c r="E16" s="5"/>
      <c r="F16" s="5"/>
      <c r="G16" s="5"/>
      <c r="H16" s="5"/>
      <c r="I16" s="15">
        <v>-5467</v>
      </c>
      <c r="J16" s="15">
        <v>-5602</v>
      </c>
      <c r="K16" s="15">
        <v>-6230</v>
      </c>
      <c r="L16" s="15">
        <v>-5580</v>
      </c>
      <c r="M16" s="15">
        <v>-6055</v>
      </c>
      <c r="N16" s="13"/>
    </row>
    <row r="17" spans="1:14" x14ac:dyDescent="0.3">
      <c r="A17" s="13"/>
      <c r="B17" s="14" t="s">
        <v>34</v>
      </c>
      <c r="C17" s="5"/>
      <c r="D17" s="5"/>
      <c r="E17" s="5"/>
      <c r="F17" s="5"/>
      <c r="G17" s="5"/>
      <c r="H17" s="5"/>
      <c r="I17" s="15">
        <v>2888</v>
      </c>
      <c r="J17" s="15">
        <v>3323</v>
      </c>
      <c r="K17" s="15">
        <v>2206</v>
      </c>
      <c r="L17" s="15">
        <v>2507</v>
      </c>
      <c r="M17" s="15">
        <v>1551</v>
      </c>
      <c r="N17" s="13"/>
    </row>
    <row r="18" spans="1:14" x14ac:dyDescent="0.3">
      <c r="A18" s="13"/>
      <c r="B18" s="14" t="s">
        <v>35</v>
      </c>
      <c r="C18" s="5"/>
      <c r="D18" s="5"/>
      <c r="E18" s="5"/>
      <c r="F18" s="5"/>
      <c r="G18" s="5"/>
      <c r="H18" s="5"/>
      <c r="I18" s="15">
        <v>-1735</v>
      </c>
      <c r="J18" s="15">
        <v>-1289</v>
      </c>
      <c r="K18" s="15">
        <v>-516</v>
      </c>
      <c r="L18" s="15">
        <v>-483</v>
      </c>
      <c r="M18" s="15">
        <v>-1025</v>
      </c>
      <c r="N18" s="13"/>
    </row>
    <row r="19" spans="1:14" x14ac:dyDescent="0.3">
      <c r="A19" s="13"/>
      <c r="B19" s="14" t="s">
        <v>36</v>
      </c>
      <c r="C19" s="5"/>
      <c r="D19" s="5"/>
      <c r="E19" s="5"/>
      <c r="F19" s="5"/>
      <c r="G19" s="5"/>
      <c r="H19" s="5"/>
      <c r="I19" s="15">
        <v>1352</v>
      </c>
      <c r="J19" s="15">
        <v>1732</v>
      </c>
      <c r="K19" s="15">
        <v>2129</v>
      </c>
      <c r="L19" s="15">
        <v>1138</v>
      </c>
      <c r="M19" s="15">
        <v>1118</v>
      </c>
      <c r="N19" s="13"/>
    </row>
    <row r="20" spans="1:14" x14ac:dyDescent="0.3">
      <c r="A20" s="13"/>
      <c r="B20" s="19" t="s">
        <v>164</v>
      </c>
      <c r="C20" s="13"/>
      <c r="D20" s="13"/>
      <c r="E20" s="5"/>
      <c r="F20" s="13"/>
      <c r="G20" s="13"/>
      <c r="H20" s="13"/>
      <c r="I20" s="15">
        <v>317</v>
      </c>
      <c r="J20" s="15">
        <v>340</v>
      </c>
      <c r="K20" s="15">
        <v>108</v>
      </c>
      <c r="L20" s="15">
        <v>-37</v>
      </c>
      <c r="M20" s="15">
        <v>93</v>
      </c>
      <c r="N20" s="13"/>
    </row>
    <row r="21" spans="1:14" s="133" customFormat="1" x14ac:dyDescent="0.3">
      <c r="A21" s="5"/>
      <c r="B21" s="20" t="s">
        <v>165</v>
      </c>
      <c r="C21" s="17"/>
      <c r="D21" s="17"/>
      <c r="E21" s="17"/>
      <c r="F21" s="17"/>
      <c r="G21" s="17"/>
      <c r="H21" s="17"/>
      <c r="I21" s="18">
        <f t="shared" ref="I21:K21" si="3">SUM(I11:I20)</f>
        <v>16028.229100849185</v>
      </c>
      <c r="J21" s="18">
        <f t="shared" si="3"/>
        <v>20458.226774298913</v>
      </c>
      <c r="K21" s="18">
        <f t="shared" si="3"/>
        <v>19660.229700111558</v>
      </c>
      <c r="L21" s="18">
        <f>SUM(L11:L20)</f>
        <v>13599.196271824389</v>
      </c>
      <c r="M21" s="18">
        <f>SUM(M11:M20)</f>
        <v>5820.1689155460081</v>
      </c>
      <c r="N21" s="5"/>
    </row>
    <row r="22" spans="1:14" s="133" customFormat="1" x14ac:dyDescent="0.3">
      <c r="A22" s="5"/>
      <c r="B22" s="6" t="s">
        <v>24</v>
      </c>
      <c r="C22" s="5"/>
      <c r="D22" s="5"/>
      <c r="E22" s="5"/>
      <c r="F22" s="5"/>
      <c r="G22" s="5"/>
      <c r="H22" s="5"/>
      <c r="I22" s="7">
        <f>I21/I9</f>
        <v>0.11970923872681309</v>
      </c>
      <c r="J22" s="7">
        <f t="shared" ref="J22:M22" si="4">J21/J9</f>
        <v>0.13637272292006181</v>
      </c>
      <c r="K22" s="7">
        <f t="shared" si="4"/>
        <v>0.12901259728401837</v>
      </c>
      <c r="L22" s="7">
        <f t="shared" si="4"/>
        <v>9.3404922399442203E-2</v>
      </c>
      <c r="M22" s="7">
        <f t="shared" si="4"/>
        <v>4.4020821664468274E-2</v>
      </c>
      <c r="N22" s="5"/>
    </row>
    <row r="23" spans="1:14" s="133" customFormat="1" x14ac:dyDescent="0.3">
      <c r="A23" s="5"/>
      <c r="B23" s="21"/>
      <c r="C23" s="5"/>
      <c r="D23" s="5"/>
      <c r="E23" s="5"/>
      <c r="F23" s="5"/>
      <c r="G23" s="5"/>
      <c r="H23" s="5"/>
      <c r="I23" s="22"/>
      <c r="J23" s="22"/>
      <c r="K23" s="22"/>
      <c r="L23" s="22"/>
      <c r="M23" s="22"/>
      <c r="N23" s="5"/>
    </row>
    <row r="24" spans="1:14" s="133" customFormat="1" x14ac:dyDescent="0.3">
      <c r="A24" s="5"/>
      <c r="B24" s="23" t="s">
        <v>37</v>
      </c>
      <c r="C24" s="5"/>
      <c r="D24" s="5"/>
      <c r="E24" s="5"/>
      <c r="F24" s="5"/>
      <c r="G24" s="5"/>
      <c r="H24" s="5"/>
      <c r="I24" s="15">
        <v>212</v>
      </c>
      <c r="J24" s="15">
        <v>273</v>
      </c>
      <c r="K24" s="15">
        <v>678</v>
      </c>
      <c r="L24" s="15">
        <v>738</v>
      </c>
      <c r="M24" s="15">
        <v>623</v>
      </c>
      <c r="N24" s="5"/>
    </row>
    <row r="25" spans="1:14" s="133" customFormat="1" x14ac:dyDescent="0.3">
      <c r="A25" s="5"/>
      <c r="B25" s="23" t="s">
        <v>38</v>
      </c>
      <c r="C25" s="5"/>
      <c r="D25" s="5"/>
      <c r="E25" s="5"/>
      <c r="F25" s="5"/>
      <c r="G25" s="5"/>
      <c r="H25" s="5"/>
      <c r="I25" s="15">
        <v>-429</v>
      </c>
      <c r="J25" s="15">
        <v>-427</v>
      </c>
      <c r="K25" s="15">
        <v>-254</v>
      </c>
      <c r="L25" s="15">
        <v>-190</v>
      </c>
      <c r="M25" s="15">
        <v>-159</v>
      </c>
      <c r="N25" s="5"/>
    </row>
    <row r="26" spans="1:14" s="133" customFormat="1" x14ac:dyDescent="0.3">
      <c r="A26" s="5"/>
      <c r="B26" s="20" t="s">
        <v>112</v>
      </c>
      <c r="C26" s="17"/>
      <c r="D26" s="17"/>
      <c r="E26" s="17"/>
      <c r="F26" s="17"/>
      <c r="G26" s="17"/>
      <c r="H26" s="24"/>
      <c r="I26" s="18">
        <f>I21+SUM(I24:I25)</f>
        <v>15811.229100849185</v>
      </c>
      <c r="J26" s="18">
        <f t="shared" ref="J26:M26" si="5">J21+SUM(J24:J25)</f>
        <v>20304.226774298913</v>
      </c>
      <c r="K26" s="18">
        <f t="shared" si="5"/>
        <v>20084.229700111558</v>
      </c>
      <c r="L26" s="18">
        <f t="shared" si="5"/>
        <v>14147.196271824389</v>
      </c>
      <c r="M26" s="18">
        <f t="shared" si="5"/>
        <v>6284.1689155460081</v>
      </c>
      <c r="N26" s="5"/>
    </row>
    <row r="27" spans="1:14" s="133" customFormat="1" x14ac:dyDescent="0.3">
      <c r="A27" s="5"/>
      <c r="B27" s="6" t="s">
        <v>114</v>
      </c>
      <c r="C27" s="5"/>
      <c r="D27" s="5"/>
      <c r="E27" s="5"/>
      <c r="F27" s="5"/>
      <c r="G27" s="5"/>
      <c r="H27" s="5"/>
      <c r="I27" s="7">
        <f>I26/I9</f>
        <v>0.11808854160299033</v>
      </c>
      <c r="J27" s="7">
        <f t="shared" ref="J27:M27" si="6">J26/J9</f>
        <v>0.13534617259576523</v>
      </c>
      <c r="K27" s="7">
        <f t="shared" si="6"/>
        <v>0.13179493208288967</v>
      </c>
      <c r="L27" s="7">
        <f t="shared" si="6"/>
        <v>9.716881376859203E-2</v>
      </c>
      <c r="M27" s="7">
        <f t="shared" si="6"/>
        <v>4.7530283597395195E-2</v>
      </c>
      <c r="N27" s="5"/>
    </row>
    <row r="28" spans="1:14" s="133" customFormat="1" x14ac:dyDescent="0.3">
      <c r="A28" s="5"/>
      <c r="B28" s="6"/>
      <c r="C28" s="5"/>
      <c r="D28" s="5"/>
      <c r="E28" s="5"/>
      <c r="F28" s="5"/>
      <c r="G28" s="5"/>
      <c r="H28" s="5"/>
      <c r="I28" s="7"/>
      <c r="J28" s="7"/>
      <c r="K28" s="7"/>
      <c r="L28" s="7"/>
      <c r="M28" s="7"/>
      <c r="N28" s="5"/>
    </row>
    <row r="29" spans="1:14" s="133" customFormat="1" x14ac:dyDescent="0.3">
      <c r="A29" s="5"/>
      <c r="B29" s="23" t="s">
        <v>40</v>
      </c>
      <c r="C29" s="5"/>
      <c r="D29" s="5"/>
      <c r="E29" s="5"/>
      <c r="F29" s="5"/>
      <c r="G29" s="5"/>
      <c r="H29" s="5"/>
      <c r="I29" s="15">
        <v>-4761</v>
      </c>
      <c r="J29" s="15">
        <v>-5495</v>
      </c>
      <c r="K29" s="15">
        <v>-5553</v>
      </c>
      <c r="L29" s="15">
        <v>-3738</v>
      </c>
      <c r="M29" s="15">
        <v>-953</v>
      </c>
      <c r="N29" s="5"/>
    </row>
    <row r="30" spans="1:14" s="133" customFormat="1" x14ac:dyDescent="0.3">
      <c r="A30" s="5"/>
      <c r="B30" s="5" t="s">
        <v>110</v>
      </c>
      <c r="C30" s="5"/>
      <c r="D30" s="5"/>
      <c r="E30" s="5"/>
      <c r="F30" s="5"/>
      <c r="G30" s="5"/>
      <c r="H30" s="5"/>
      <c r="I30" s="15">
        <v>12346</v>
      </c>
      <c r="J30" s="15">
        <v>0</v>
      </c>
      <c r="K30" s="15">
        <v>0</v>
      </c>
      <c r="L30" s="15">
        <v>0</v>
      </c>
      <c r="M30" s="15">
        <v>0</v>
      </c>
      <c r="N30" s="5"/>
    </row>
    <row r="31" spans="1:14" s="133" customFormat="1" x14ac:dyDescent="0.3">
      <c r="A31" s="5"/>
      <c r="B31" s="20" t="s">
        <v>162</v>
      </c>
      <c r="C31" s="17"/>
      <c r="D31" s="17"/>
      <c r="E31" s="17"/>
      <c r="F31" s="17"/>
      <c r="G31" s="17"/>
      <c r="H31" s="17"/>
      <c r="I31" s="18">
        <f>I26+I29+I30</f>
        <v>23396.229100849185</v>
      </c>
      <c r="J31" s="18">
        <f>J26+J29+J30</f>
        <v>14809.226774298913</v>
      </c>
      <c r="K31" s="18">
        <f>K26+K29+K30</f>
        <v>14531.229700111558</v>
      </c>
      <c r="L31" s="18">
        <f>L26+L29+L30</f>
        <v>10409.196271824389</v>
      </c>
      <c r="M31" s="18">
        <f>M26+M29+M30</f>
        <v>5331.1689155460081</v>
      </c>
      <c r="N31" s="5"/>
    </row>
    <row r="32" spans="1:14" s="133" customFormat="1" x14ac:dyDescent="0.3">
      <c r="A32" s="5"/>
      <c r="B32" s="21" t="s">
        <v>163</v>
      </c>
      <c r="C32" s="5"/>
      <c r="D32" s="5"/>
      <c r="E32" s="5"/>
      <c r="F32" s="5"/>
      <c r="G32" s="5"/>
      <c r="H32" s="5"/>
      <c r="I32" s="30">
        <f>I31-I30</f>
        <v>11050.229100849185</v>
      </c>
      <c r="J32" s="30">
        <f>J31-J30</f>
        <v>14809.226774298913</v>
      </c>
      <c r="K32" s="30">
        <f>K31-K30</f>
        <v>14531.229700111558</v>
      </c>
      <c r="L32" s="30">
        <f>L31-L30</f>
        <v>10409.196271824389</v>
      </c>
      <c r="M32" s="30">
        <f>M31-M30</f>
        <v>5331.1689155460081</v>
      </c>
      <c r="N32" s="5"/>
    </row>
    <row r="33" spans="1:14" s="133" customFormat="1" x14ac:dyDescent="0.3">
      <c r="A33" s="5"/>
      <c r="B33" s="6" t="s">
        <v>176</v>
      </c>
      <c r="I33" s="7">
        <f>I32/I9</f>
        <v>8.2530297333312311E-2</v>
      </c>
      <c r="J33" s="7">
        <f t="shared" ref="J33:M33" si="7">J32/J9</f>
        <v>9.8716990569728186E-2</v>
      </c>
      <c r="K33" s="7">
        <f t="shared" si="7"/>
        <v>9.5355533172199997E-2</v>
      </c>
      <c r="L33" s="7">
        <f t="shared" si="7"/>
        <v>7.1494678845449591E-2</v>
      </c>
      <c r="M33" s="7">
        <f t="shared" si="7"/>
        <v>4.0322272342913822E-2</v>
      </c>
      <c r="N33" s="5"/>
    </row>
    <row r="34" spans="1:14" x14ac:dyDescent="0.3">
      <c r="A34" s="13"/>
      <c r="B34" s="13"/>
      <c r="C34" s="13"/>
      <c r="D34" s="13"/>
      <c r="E34" s="13"/>
      <c r="F34" s="13"/>
      <c r="G34" s="13"/>
      <c r="H34" s="13"/>
      <c r="I34" s="13"/>
      <c r="J34" s="13"/>
      <c r="K34" s="13"/>
      <c r="L34" s="13"/>
      <c r="M34" s="13"/>
      <c r="N34" s="13"/>
    </row>
    <row r="35" spans="1:14" x14ac:dyDescent="0.3">
      <c r="A35" s="13" t="s">
        <v>29</v>
      </c>
      <c r="B35" s="17"/>
      <c r="C35" s="17"/>
      <c r="D35" s="17"/>
      <c r="E35" s="17"/>
      <c r="F35" s="17"/>
      <c r="G35" s="17"/>
      <c r="H35" s="17"/>
      <c r="I35" s="17"/>
      <c r="J35" s="17"/>
      <c r="K35" s="17"/>
      <c r="L35" s="17"/>
      <c r="M35" s="17"/>
      <c r="N35" s="17"/>
    </row>
    <row r="36" spans="1:14" x14ac:dyDescent="0.3">
      <c r="B36" s="133"/>
    </row>
    <row r="37" spans="1:14" x14ac:dyDescent="0.3">
      <c r="B37" s="133"/>
      <c r="I37" s="245"/>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C2F2-F53D-4A8C-A8ED-79D26B837D12}">
  <sheetPr>
    <outlinePr showOutlineSymbols="0"/>
    <pageSetUpPr autoPageBreaks="0"/>
  </sheetPr>
  <dimension ref="A1:P66"/>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6384" width="9.140625" style="194"/>
  </cols>
  <sheetData>
    <row r="1" spans="1:14" ht="6" customHeight="1" x14ac:dyDescent="0.3"/>
    <row r="2" spans="1:14" ht="39.950000000000003" customHeight="1" x14ac:dyDescent="0.3">
      <c r="B2" s="195"/>
      <c r="C2" s="195"/>
      <c r="D2" s="241" t="s">
        <v>28</v>
      </c>
      <c r="E2" s="195"/>
      <c r="F2" s="195"/>
      <c r="G2" s="195"/>
      <c r="H2" s="195"/>
      <c r="I2" s="196"/>
      <c r="J2" s="195"/>
      <c r="K2" s="195"/>
      <c r="L2" s="195"/>
      <c r="M2" s="195"/>
      <c r="N2" s="195"/>
    </row>
    <row r="3" spans="1:14" x14ac:dyDescent="0.3">
      <c r="A3" s="246"/>
      <c r="B3" s="246"/>
      <c r="C3" s="246"/>
      <c r="D3" s="246"/>
      <c r="E3" s="246"/>
      <c r="F3" s="246"/>
      <c r="G3" s="246"/>
      <c r="H3" s="246"/>
    </row>
    <row r="4" spans="1:14" x14ac:dyDescent="0.3">
      <c r="A4" s="246" t="s">
        <v>29</v>
      </c>
      <c r="B4" s="197" t="s">
        <v>169</v>
      </c>
      <c r="C4" s="247"/>
      <c r="D4" s="247"/>
      <c r="E4" s="247"/>
      <c r="F4" s="247"/>
      <c r="G4" s="247"/>
      <c r="H4" s="247"/>
      <c r="I4" s="198"/>
      <c r="J4" s="198"/>
      <c r="K4" s="198"/>
      <c r="L4" s="198"/>
      <c r="M4" s="198"/>
      <c r="N4" s="198"/>
    </row>
    <row r="5" spans="1:14" x14ac:dyDescent="0.3">
      <c r="A5" s="246"/>
      <c r="B5" s="246"/>
      <c r="C5" s="246"/>
      <c r="D5" s="246"/>
      <c r="E5" s="246"/>
      <c r="F5" s="246"/>
      <c r="G5" s="246"/>
      <c r="H5" s="246"/>
    </row>
    <row r="6" spans="1:14" ht="17.25" thickBot="1" x14ac:dyDescent="0.35">
      <c r="A6" s="246"/>
      <c r="B6" s="240" t="s">
        <v>20</v>
      </c>
      <c r="C6" s="246"/>
      <c r="D6" s="246"/>
      <c r="E6" s="246"/>
      <c r="F6" s="246"/>
      <c r="G6" s="246"/>
      <c r="H6" s="248"/>
      <c r="I6" s="200">
        <v>2021</v>
      </c>
      <c r="J6" s="200">
        <f>I6+1</f>
        <v>2022</v>
      </c>
      <c r="K6" s="200">
        <f t="shared" ref="K6:M6" si="0">J6+1</f>
        <v>2023</v>
      </c>
      <c r="L6" s="200">
        <f t="shared" si="0"/>
        <v>2024</v>
      </c>
      <c r="M6" s="200">
        <f t="shared" si="0"/>
        <v>2025</v>
      </c>
    </row>
    <row r="7" spans="1:14" x14ac:dyDescent="0.3">
      <c r="A7" s="182"/>
      <c r="B7" s="88"/>
      <c r="C7" s="183"/>
      <c r="D7" s="182"/>
      <c r="E7" s="182"/>
      <c r="F7" s="182"/>
      <c r="G7" s="182"/>
      <c r="H7" s="182"/>
      <c r="I7" s="13"/>
      <c r="J7" s="13"/>
      <c r="K7" s="13"/>
      <c r="L7" s="13"/>
      <c r="M7" s="13"/>
      <c r="N7" s="13"/>
    </row>
    <row r="8" spans="1:14" x14ac:dyDescent="0.3">
      <c r="A8" s="182"/>
      <c r="B8" s="184" t="s">
        <v>4</v>
      </c>
      <c r="C8" s="183"/>
      <c r="D8" s="182"/>
      <c r="E8" s="182"/>
      <c r="F8" s="182"/>
      <c r="G8" s="182"/>
      <c r="H8" s="182"/>
      <c r="I8" s="13"/>
      <c r="J8" s="13"/>
      <c r="K8" s="13"/>
      <c r="L8" s="13"/>
      <c r="M8" s="13"/>
      <c r="N8" s="13"/>
    </row>
    <row r="9" spans="1:14" x14ac:dyDescent="0.3">
      <c r="A9" s="182"/>
      <c r="B9" s="182"/>
      <c r="C9" s="183" t="s">
        <v>167</v>
      </c>
      <c r="D9" s="182"/>
      <c r="E9" s="185"/>
      <c r="F9" s="185"/>
      <c r="G9" s="185"/>
      <c r="H9" s="185"/>
      <c r="I9" s="15">
        <v>15005</v>
      </c>
      <c r="J9" s="15">
        <v>15869</v>
      </c>
      <c r="K9" s="15">
        <v>17593</v>
      </c>
      <c r="L9" s="15">
        <v>19436</v>
      </c>
      <c r="M9" s="15">
        <v>20547</v>
      </c>
      <c r="N9" s="13"/>
    </row>
    <row r="10" spans="1:14" x14ac:dyDescent="0.3">
      <c r="A10" s="182"/>
      <c r="B10" s="182"/>
      <c r="C10" s="183" t="s">
        <v>42</v>
      </c>
      <c r="D10" s="182"/>
      <c r="E10" s="185"/>
      <c r="F10" s="185"/>
      <c r="G10" s="185"/>
      <c r="H10" s="185"/>
      <c r="I10" s="15">
        <v>27859</v>
      </c>
      <c r="J10" s="15">
        <v>27250</v>
      </c>
      <c r="K10" s="15">
        <v>26090</v>
      </c>
      <c r="L10" s="15">
        <v>26537</v>
      </c>
      <c r="M10" s="15">
        <v>27340</v>
      </c>
      <c r="N10" s="13"/>
    </row>
    <row r="11" spans="1:14" s="133" customFormat="1" x14ac:dyDescent="0.3">
      <c r="A11" s="185"/>
      <c r="B11" s="185"/>
      <c r="C11" s="183" t="s">
        <v>43</v>
      </c>
      <c r="D11" s="185"/>
      <c r="E11" s="185"/>
      <c r="F11" s="185"/>
      <c r="G11" s="185"/>
      <c r="H11" s="185"/>
      <c r="I11" s="15">
        <v>44471</v>
      </c>
      <c r="J11" s="15">
        <v>41552</v>
      </c>
      <c r="K11" s="15">
        <v>41712</v>
      </c>
      <c r="L11" s="15">
        <v>45220</v>
      </c>
      <c r="M11" s="15">
        <v>39472</v>
      </c>
      <c r="N11" s="5"/>
    </row>
    <row r="12" spans="1:14" s="133" customFormat="1" x14ac:dyDescent="0.3">
      <c r="A12" s="185"/>
      <c r="B12" s="185"/>
      <c r="C12" s="183" t="s">
        <v>44</v>
      </c>
      <c r="D12" s="185"/>
      <c r="E12" s="185"/>
      <c r="F12" s="185"/>
      <c r="G12" s="185"/>
      <c r="H12" s="185"/>
      <c r="I12" s="15">
        <v>13588</v>
      </c>
      <c r="J12" s="15">
        <v>13530</v>
      </c>
      <c r="K12" s="15">
        <v>13104</v>
      </c>
      <c r="L12" s="15">
        <v>12786</v>
      </c>
      <c r="M12" s="15">
        <v>10037</v>
      </c>
      <c r="N12" s="5"/>
    </row>
    <row r="13" spans="1:14" x14ac:dyDescent="0.3">
      <c r="A13" s="182"/>
      <c r="B13" s="182"/>
      <c r="C13" s="183" t="s">
        <v>45</v>
      </c>
      <c r="D13" s="182"/>
      <c r="E13" s="185"/>
      <c r="F13" s="185"/>
      <c r="G13" s="185"/>
      <c r="H13" s="185"/>
      <c r="I13" s="15">
        <v>46955</v>
      </c>
      <c r="J13" s="15">
        <v>48237</v>
      </c>
      <c r="K13" s="15">
        <v>49742</v>
      </c>
      <c r="L13" s="15">
        <v>48547</v>
      </c>
      <c r="M13" s="15">
        <v>41902</v>
      </c>
      <c r="N13" s="13"/>
    </row>
    <row r="14" spans="1:14" s="133" customFormat="1" x14ac:dyDescent="0.3">
      <c r="A14" s="185"/>
      <c r="B14" s="185"/>
      <c r="C14" s="183" t="s">
        <v>46</v>
      </c>
      <c r="D14" s="185"/>
      <c r="E14" s="185"/>
      <c r="F14" s="185"/>
      <c r="G14" s="185"/>
      <c r="H14" s="185"/>
      <c r="I14" s="15">
        <v>873</v>
      </c>
      <c r="J14" s="15">
        <v>823</v>
      </c>
      <c r="K14" s="15">
        <v>699</v>
      </c>
      <c r="L14" s="15">
        <v>644</v>
      </c>
      <c r="M14" s="15">
        <v>626</v>
      </c>
      <c r="N14" s="5"/>
    </row>
    <row r="15" spans="1:14" x14ac:dyDescent="0.3">
      <c r="A15" s="182"/>
      <c r="B15" s="182"/>
      <c r="C15" s="183" t="s">
        <v>47</v>
      </c>
      <c r="D15" s="182"/>
      <c r="E15" s="185"/>
      <c r="F15" s="185"/>
      <c r="G15" s="185"/>
      <c r="H15" s="185"/>
      <c r="I15" s="15">
        <v>3181</v>
      </c>
      <c r="J15" s="15">
        <v>4478</v>
      </c>
      <c r="K15" s="15">
        <v>4340</v>
      </c>
      <c r="L15" s="15">
        <v>3020</v>
      </c>
      <c r="M15" s="15">
        <v>2953</v>
      </c>
      <c r="N15" s="13"/>
    </row>
    <row r="16" spans="1:14" x14ac:dyDescent="0.3">
      <c r="A16" s="182"/>
      <c r="B16" s="182"/>
      <c r="C16" s="183" t="s">
        <v>48</v>
      </c>
      <c r="D16" s="182"/>
      <c r="E16" s="185"/>
      <c r="F16" s="185"/>
      <c r="G16" s="185"/>
      <c r="H16" s="185"/>
      <c r="I16" s="15">
        <v>3434</v>
      </c>
      <c r="J16" s="15">
        <v>3725</v>
      </c>
      <c r="K16" s="15">
        <v>4127</v>
      </c>
      <c r="L16" s="15">
        <v>4335</v>
      </c>
      <c r="M16" s="15">
        <v>6090</v>
      </c>
      <c r="N16" s="13"/>
    </row>
    <row r="17" spans="1:16" x14ac:dyDescent="0.3">
      <c r="A17" s="182"/>
      <c r="B17" s="182"/>
      <c r="C17" s="183" t="s">
        <v>49</v>
      </c>
      <c r="D17" s="182"/>
      <c r="E17" s="185"/>
      <c r="F17" s="185"/>
      <c r="G17" s="185"/>
      <c r="H17" s="185"/>
      <c r="I17" s="15">
        <v>0</v>
      </c>
      <c r="J17" s="15">
        <v>0</v>
      </c>
      <c r="K17" s="15">
        <v>318</v>
      </c>
      <c r="L17" s="15">
        <v>327</v>
      </c>
      <c r="M17" s="15">
        <v>426</v>
      </c>
      <c r="N17" s="13"/>
    </row>
    <row r="18" spans="1:16" x14ac:dyDescent="0.3">
      <c r="A18" s="182"/>
      <c r="B18" s="182"/>
      <c r="C18" s="183" t="s">
        <v>50</v>
      </c>
      <c r="D18" s="182"/>
      <c r="E18" s="185"/>
      <c r="F18" s="185"/>
      <c r="G18" s="185"/>
      <c r="H18" s="185"/>
      <c r="I18" s="15">
        <v>1536</v>
      </c>
      <c r="J18" s="15">
        <v>1677</v>
      </c>
      <c r="K18" s="15">
        <v>1265</v>
      </c>
      <c r="L18" s="15">
        <v>2391</v>
      </c>
      <c r="M18" s="15">
        <v>3941</v>
      </c>
      <c r="N18" s="13"/>
    </row>
    <row r="19" spans="1:16" x14ac:dyDescent="0.3">
      <c r="A19" s="182"/>
      <c r="B19" s="186" t="s">
        <v>51</v>
      </c>
      <c r="C19" s="187"/>
      <c r="D19" s="187"/>
      <c r="E19" s="187"/>
      <c r="F19" s="187"/>
      <c r="G19" s="187"/>
      <c r="H19" s="187"/>
      <c r="I19" s="18">
        <f>SUM(I9:I18)</f>
        <v>156902</v>
      </c>
      <c r="J19" s="18">
        <f t="shared" ref="J19:M19" si="1">SUM(J9:J18)</f>
        <v>157141</v>
      </c>
      <c r="K19" s="18">
        <f t="shared" si="1"/>
        <v>158990</v>
      </c>
      <c r="L19" s="18">
        <f t="shared" si="1"/>
        <v>163243</v>
      </c>
      <c r="M19" s="18">
        <f t="shared" si="1"/>
        <v>153334</v>
      </c>
      <c r="N19" s="13"/>
    </row>
    <row r="20" spans="1:16" s="133" customFormat="1" x14ac:dyDescent="0.3">
      <c r="A20" s="185"/>
      <c r="B20" s="185"/>
      <c r="C20" s="183" t="s">
        <v>5</v>
      </c>
      <c r="D20" s="185"/>
      <c r="E20" s="185"/>
      <c r="F20" s="185"/>
      <c r="G20" s="185"/>
      <c r="H20" s="185"/>
      <c r="I20" s="15">
        <v>21466</v>
      </c>
      <c r="J20" s="15">
        <v>25621</v>
      </c>
      <c r="K20" s="15">
        <v>26486</v>
      </c>
      <c r="L20" s="15">
        <v>26234</v>
      </c>
      <c r="M20" s="15">
        <v>23933</v>
      </c>
      <c r="N20" s="5"/>
    </row>
    <row r="21" spans="1:16" s="133" customFormat="1" x14ac:dyDescent="0.3">
      <c r="A21" s="185"/>
      <c r="B21" s="185"/>
      <c r="C21" s="183" t="s">
        <v>52</v>
      </c>
      <c r="D21" s="185"/>
      <c r="E21" s="185"/>
      <c r="F21" s="185"/>
      <c r="G21" s="185"/>
      <c r="H21" s="185"/>
      <c r="I21" s="15">
        <v>7673</v>
      </c>
      <c r="J21" s="15">
        <v>8100</v>
      </c>
      <c r="K21" s="15">
        <v>7281</v>
      </c>
      <c r="L21" s="15">
        <v>6973</v>
      </c>
      <c r="M21" s="15">
        <v>5851</v>
      </c>
      <c r="N21" s="5"/>
    </row>
    <row r="22" spans="1:16" s="133" customFormat="1" x14ac:dyDescent="0.3">
      <c r="A22" s="185"/>
      <c r="B22" s="185"/>
      <c r="C22" s="183" t="s">
        <v>45</v>
      </c>
      <c r="D22" s="185"/>
      <c r="E22" s="185"/>
      <c r="F22" s="185"/>
      <c r="G22" s="185"/>
      <c r="H22" s="185"/>
      <c r="I22" s="15">
        <v>33670</v>
      </c>
      <c r="J22" s="15">
        <v>37312</v>
      </c>
      <c r="K22" s="15">
        <v>39277</v>
      </c>
      <c r="L22" s="15">
        <v>39320</v>
      </c>
      <c r="M22" s="15">
        <v>34387</v>
      </c>
      <c r="N22" s="5"/>
    </row>
    <row r="23" spans="1:16" s="133" customFormat="1" x14ac:dyDescent="0.3">
      <c r="A23" s="185"/>
      <c r="B23" s="185"/>
      <c r="C23" s="183" t="s">
        <v>53</v>
      </c>
      <c r="D23" s="185"/>
      <c r="E23" s="185"/>
      <c r="F23" s="185"/>
      <c r="G23" s="185"/>
      <c r="H23" s="185"/>
      <c r="I23" s="15">
        <v>23120</v>
      </c>
      <c r="J23" s="15">
        <v>17679</v>
      </c>
      <c r="K23" s="15">
        <v>15962</v>
      </c>
      <c r="L23" s="15">
        <v>14511</v>
      </c>
      <c r="M23" s="15">
        <v>12254</v>
      </c>
      <c r="N23" s="5"/>
    </row>
    <row r="24" spans="1:16" s="133" customFormat="1" x14ac:dyDescent="0.3">
      <c r="A24" s="185"/>
      <c r="B24" s="185"/>
      <c r="C24" s="183" t="s">
        <v>46</v>
      </c>
      <c r="D24" s="185"/>
      <c r="E24" s="185"/>
      <c r="F24" s="185"/>
      <c r="G24" s="185"/>
      <c r="H24" s="185"/>
      <c r="I24" s="15">
        <v>6706</v>
      </c>
      <c r="J24" s="15">
        <v>6237</v>
      </c>
      <c r="K24" s="15">
        <v>6159</v>
      </c>
      <c r="L24" s="15">
        <v>7086</v>
      </c>
      <c r="M24" s="15">
        <v>6940</v>
      </c>
      <c r="N24" s="5"/>
    </row>
    <row r="25" spans="1:16" s="133" customFormat="1" x14ac:dyDescent="0.3">
      <c r="A25" s="185"/>
      <c r="B25" s="185"/>
      <c r="C25" s="183" t="s">
        <v>47</v>
      </c>
      <c r="D25" s="185"/>
      <c r="E25" s="185"/>
      <c r="F25" s="185"/>
      <c r="G25" s="185"/>
      <c r="H25" s="185"/>
      <c r="I25" s="15">
        <v>3079</v>
      </c>
      <c r="J25" s="15">
        <v>3453</v>
      </c>
      <c r="K25" s="15">
        <v>3599</v>
      </c>
      <c r="L25" s="15">
        <v>2868</v>
      </c>
      <c r="M25" s="15">
        <v>2852</v>
      </c>
      <c r="N25" s="5"/>
    </row>
    <row r="26" spans="1:16" s="133" customFormat="1" x14ac:dyDescent="0.3">
      <c r="A26" s="185"/>
      <c r="B26" s="185"/>
      <c r="C26" s="183" t="s">
        <v>49</v>
      </c>
      <c r="D26" s="185"/>
      <c r="E26" s="185"/>
      <c r="F26" s="185"/>
      <c r="G26" s="185"/>
      <c r="H26" s="185"/>
      <c r="I26" s="15">
        <v>0</v>
      </c>
      <c r="J26" s="15">
        <v>0</v>
      </c>
      <c r="K26" s="15">
        <v>798</v>
      </c>
      <c r="L26" s="15">
        <v>1034</v>
      </c>
      <c r="M26" s="15">
        <v>1257</v>
      </c>
      <c r="N26" s="5"/>
    </row>
    <row r="27" spans="1:16" s="133" customFormat="1" x14ac:dyDescent="0.3">
      <c r="A27" s="185"/>
      <c r="B27" s="185"/>
      <c r="C27" s="183" t="s">
        <v>50</v>
      </c>
      <c r="D27" s="185"/>
      <c r="E27" s="185"/>
      <c r="F27" s="185"/>
      <c r="G27" s="185"/>
      <c r="H27" s="185"/>
      <c r="I27" s="15">
        <v>4073</v>
      </c>
      <c r="J27" s="15">
        <v>4472</v>
      </c>
      <c r="K27" s="15">
        <v>3675</v>
      </c>
      <c r="L27" s="15">
        <v>3581</v>
      </c>
      <c r="M27" s="15">
        <v>3645</v>
      </c>
      <c r="N27" s="5"/>
    </row>
    <row r="28" spans="1:16" s="133" customFormat="1" x14ac:dyDescent="0.3">
      <c r="A28" s="185"/>
      <c r="B28" s="185"/>
      <c r="C28" s="183" t="s">
        <v>54</v>
      </c>
      <c r="D28" s="185"/>
      <c r="E28" s="185"/>
      <c r="F28" s="185"/>
      <c r="G28" s="185"/>
      <c r="H28" s="185"/>
      <c r="I28" s="15">
        <v>3142</v>
      </c>
      <c r="J28" s="15">
        <v>0</v>
      </c>
      <c r="K28" s="15">
        <v>795</v>
      </c>
      <c r="L28" s="15">
        <v>160</v>
      </c>
      <c r="M28" s="15">
        <v>11013</v>
      </c>
      <c r="N28" s="5"/>
    </row>
    <row r="29" spans="1:16" s="133" customFormat="1" x14ac:dyDescent="0.3">
      <c r="A29" s="185"/>
      <c r="B29" s="186" t="s">
        <v>55</v>
      </c>
      <c r="C29" s="187"/>
      <c r="D29" s="187"/>
      <c r="E29" s="187"/>
      <c r="F29" s="187"/>
      <c r="G29" s="187"/>
      <c r="H29" s="187"/>
      <c r="I29" s="18">
        <f>SUM(I20:I28)</f>
        <v>102929</v>
      </c>
      <c r="J29" s="18">
        <f t="shared" ref="J29:M29" si="2">SUM(J20:J28)</f>
        <v>102874</v>
      </c>
      <c r="K29" s="18">
        <f t="shared" si="2"/>
        <v>104032</v>
      </c>
      <c r="L29" s="18">
        <f t="shared" si="2"/>
        <v>101767</v>
      </c>
      <c r="M29" s="18">
        <f t="shared" si="2"/>
        <v>102132</v>
      </c>
      <c r="N29" s="5"/>
    </row>
    <row r="30" spans="1:16" s="133" customFormat="1" ht="17.25" thickBot="1" x14ac:dyDescent="0.35">
      <c r="A30" s="185"/>
      <c r="B30" s="188" t="s">
        <v>56</v>
      </c>
      <c r="C30" s="189"/>
      <c r="D30" s="189"/>
      <c r="E30" s="189"/>
      <c r="F30" s="189"/>
      <c r="G30" s="189"/>
      <c r="H30" s="189"/>
      <c r="I30" s="26">
        <f>I19+I29</f>
        <v>259831</v>
      </c>
      <c r="J30" s="26">
        <f t="shared" ref="J30:M30" si="3">J19+J29</f>
        <v>260015</v>
      </c>
      <c r="K30" s="26">
        <f t="shared" si="3"/>
        <v>263022</v>
      </c>
      <c r="L30" s="26">
        <f t="shared" si="3"/>
        <v>265010</v>
      </c>
      <c r="M30" s="26">
        <f t="shared" si="3"/>
        <v>255466</v>
      </c>
      <c r="N30" s="5"/>
    </row>
    <row r="31" spans="1:16" s="133" customFormat="1" x14ac:dyDescent="0.3">
      <c r="A31" s="185"/>
      <c r="B31" s="182" t="s">
        <v>57</v>
      </c>
      <c r="C31" s="185"/>
      <c r="D31" s="185"/>
      <c r="E31" s="185"/>
      <c r="F31" s="185"/>
      <c r="G31" s="185"/>
      <c r="H31" s="185"/>
      <c r="I31" s="27"/>
      <c r="J31" s="27"/>
      <c r="K31" s="27"/>
      <c r="L31" s="27"/>
      <c r="M31" s="27"/>
      <c r="N31" s="5"/>
      <c r="P31" s="140"/>
    </row>
    <row r="32" spans="1:16" s="133" customFormat="1" x14ac:dyDescent="0.3">
      <c r="A32" s="185"/>
      <c r="B32" s="184" t="s">
        <v>58</v>
      </c>
      <c r="C32" s="185"/>
      <c r="D32" s="185"/>
      <c r="E32" s="185"/>
      <c r="F32" s="185"/>
      <c r="G32" s="185"/>
      <c r="H32" s="185"/>
      <c r="I32" s="27"/>
      <c r="J32" s="27"/>
      <c r="K32" s="27"/>
      <c r="L32" s="27"/>
      <c r="M32" s="27"/>
      <c r="N32" s="5"/>
    </row>
    <row r="33" spans="1:14" s="133" customFormat="1" x14ac:dyDescent="0.3">
      <c r="A33" s="185"/>
      <c r="B33" s="185"/>
      <c r="C33" s="183" t="s">
        <v>59</v>
      </c>
      <c r="D33" s="185"/>
      <c r="E33" s="185"/>
      <c r="F33" s="185"/>
      <c r="G33" s="185"/>
      <c r="H33" s="185"/>
      <c r="I33" s="15">
        <v>3070</v>
      </c>
      <c r="J33" s="15">
        <v>3070</v>
      </c>
      <c r="K33" s="15">
        <v>3070</v>
      </c>
      <c r="L33" s="15">
        <v>3070</v>
      </c>
      <c r="M33" s="15">
        <v>3070</v>
      </c>
      <c r="N33" s="5"/>
    </row>
    <row r="34" spans="1:14" s="133" customFormat="1" x14ac:dyDescent="0.3">
      <c r="A34" s="185"/>
      <c r="B34" s="185"/>
      <c r="C34" s="183" t="s">
        <v>60</v>
      </c>
      <c r="D34" s="185"/>
      <c r="E34" s="185"/>
      <c r="F34" s="185"/>
      <c r="G34" s="185"/>
      <c r="H34" s="185"/>
      <c r="I34" s="15">
        <v>11723</v>
      </c>
      <c r="J34" s="15">
        <v>11718</v>
      </c>
      <c r="K34" s="15">
        <v>11718</v>
      </c>
      <c r="L34" s="15">
        <v>11718</v>
      </c>
      <c r="M34" s="15">
        <v>11718</v>
      </c>
      <c r="N34" s="5"/>
    </row>
    <row r="35" spans="1:14" s="133" customFormat="1" x14ac:dyDescent="0.3">
      <c r="A35" s="185"/>
      <c r="B35" s="185"/>
      <c r="C35" s="183" t="s">
        <v>61</v>
      </c>
      <c r="D35" s="185"/>
      <c r="E35" s="185"/>
      <c r="F35" s="185"/>
      <c r="G35" s="185"/>
      <c r="H35" s="185"/>
      <c r="I35" s="15">
        <v>55926</v>
      </c>
      <c r="J35" s="15">
        <v>67695</v>
      </c>
      <c r="K35" s="15">
        <v>76670</v>
      </c>
      <c r="L35" s="15">
        <v>75469</v>
      </c>
      <c r="M35" s="15">
        <v>77631</v>
      </c>
      <c r="N35" s="5"/>
    </row>
    <row r="36" spans="1:14" s="133" customFormat="1" x14ac:dyDescent="0.3">
      <c r="A36" s="185"/>
      <c r="B36" s="185"/>
      <c r="C36" s="183" t="s">
        <v>62</v>
      </c>
      <c r="D36" s="185"/>
      <c r="E36" s="185"/>
      <c r="F36" s="185"/>
      <c r="G36" s="185"/>
      <c r="H36" s="185"/>
      <c r="I36" s="15">
        <v>1232</v>
      </c>
      <c r="J36" s="15">
        <v>2932</v>
      </c>
      <c r="K36" s="15">
        <v>2571</v>
      </c>
      <c r="L36" s="15">
        <v>2368</v>
      </c>
      <c r="M36" s="15">
        <v>1163</v>
      </c>
      <c r="N36" s="5"/>
    </row>
    <row r="37" spans="1:14" s="133" customFormat="1" x14ac:dyDescent="0.3">
      <c r="A37" s="185"/>
      <c r="B37" s="185"/>
      <c r="C37" s="183" t="s">
        <v>63</v>
      </c>
      <c r="D37" s="185"/>
      <c r="E37" s="185"/>
      <c r="F37" s="185"/>
      <c r="G37" s="185"/>
      <c r="H37" s="185"/>
      <c r="I37" s="15">
        <v>0</v>
      </c>
      <c r="J37" s="15">
        <v>0</v>
      </c>
      <c r="K37" s="15">
        <v>-2256</v>
      </c>
      <c r="L37" s="15">
        <v>0</v>
      </c>
      <c r="M37" s="15">
        <v>-325</v>
      </c>
      <c r="N37" s="5"/>
    </row>
    <row r="38" spans="1:14" s="133" customFormat="1" x14ac:dyDescent="0.3">
      <c r="A38" s="185"/>
      <c r="B38" s="186" t="s">
        <v>78</v>
      </c>
      <c r="C38" s="187"/>
      <c r="D38" s="187"/>
      <c r="E38" s="187"/>
      <c r="F38" s="187"/>
      <c r="G38" s="187"/>
      <c r="H38" s="187"/>
      <c r="I38" s="18">
        <f>SUM(I33:I37)</f>
        <v>71951</v>
      </c>
      <c r="J38" s="18">
        <f t="shared" ref="J38:M38" si="4">SUM(J33:J37)</f>
        <v>85415</v>
      </c>
      <c r="K38" s="18">
        <f t="shared" si="4"/>
        <v>91773</v>
      </c>
      <c r="L38" s="18">
        <f t="shared" si="4"/>
        <v>92625</v>
      </c>
      <c r="M38" s="18">
        <f t="shared" si="4"/>
        <v>93257</v>
      </c>
      <c r="N38" s="5"/>
    </row>
    <row r="39" spans="1:14" s="133" customFormat="1" x14ac:dyDescent="0.3">
      <c r="A39" s="185"/>
      <c r="B39" s="185"/>
      <c r="C39" s="183" t="s">
        <v>64</v>
      </c>
      <c r="D39" s="185"/>
      <c r="E39" s="185"/>
      <c r="F39" s="185"/>
      <c r="G39" s="185"/>
      <c r="H39" s="185"/>
      <c r="I39" s="15">
        <v>1216</v>
      </c>
      <c r="J39" s="15">
        <v>1125</v>
      </c>
      <c r="K39" s="15">
        <v>1043</v>
      </c>
      <c r="L39" s="15">
        <v>1005</v>
      </c>
      <c r="M39" s="15">
        <v>983</v>
      </c>
      <c r="N39" s="5"/>
    </row>
    <row r="40" spans="1:14" s="133" customFormat="1" ht="17.25" thickBot="1" x14ac:dyDescent="0.35">
      <c r="A40" s="185"/>
      <c r="B40" s="188" t="s">
        <v>6</v>
      </c>
      <c r="C40" s="189"/>
      <c r="D40" s="189"/>
      <c r="E40" s="189"/>
      <c r="F40" s="189"/>
      <c r="G40" s="189"/>
      <c r="H40" s="189"/>
      <c r="I40" s="26">
        <f>I38+I39</f>
        <v>73167</v>
      </c>
      <c r="J40" s="26">
        <f t="shared" ref="J40:M40" si="5">J38+J39</f>
        <v>86540</v>
      </c>
      <c r="K40" s="26">
        <f t="shared" si="5"/>
        <v>92816</v>
      </c>
      <c r="L40" s="26">
        <f t="shared" si="5"/>
        <v>93630</v>
      </c>
      <c r="M40" s="26">
        <f t="shared" si="5"/>
        <v>94240</v>
      </c>
      <c r="N40" s="5"/>
    </row>
    <row r="41" spans="1:14" s="133" customFormat="1" x14ac:dyDescent="0.3">
      <c r="A41" s="185"/>
      <c r="B41" s="185"/>
      <c r="C41" s="183" t="s">
        <v>65</v>
      </c>
      <c r="D41" s="185"/>
      <c r="E41" s="185"/>
      <c r="F41" s="185"/>
      <c r="G41" s="185"/>
      <c r="H41" s="185"/>
      <c r="I41" s="15">
        <v>5359</v>
      </c>
      <c r="J41" s="15">
        <v>1021</v>
      </c>
      <c r="K41" s="15">
        <v>1090</v>
      </c>
      <c r="L41" s="15">
        <v>952</v>
      </c>
      <c r="M41" s="15">
        <v>807</v>
      </c>
      <c r="N41" s="5"/>
    </row>
    <row r="42" spans="1:14" s="133" customFormat="1" x14ac:dyDescent="0.3">
      <c r="A42" s="185"/>
      <c r="B42" s="185"/>
      <c r="C42" s="183" t="s">
        <v>66</v>
      </c>
      <c r="D42" s="185"/>
      <c r="E42" s="185"/>
      <c r="F42" s="185"/>
      <c r="G42" s="185"/>
      <c r="H42" s="185"/>
      <c r="I42" s="15">
        <v>7909</v>
      </c>
      <c r="J42" s="15">
        <v>6438</v>
      </c>
      <c r="K42" s="15">
        <v>7345</v>
      </c>
      <c r="L42" s="15">
        <v>7332</v>
      </c>
      <c r="M42" s="15">
        <v>7612</v>
      </c>
      <c r="N42" s="5"/>
    </row>
    <row r="43" spans="1:14" s="133" customFormat="1" x14ac:dyDescent="0.3">
      <c r="A43" s="185"/>
      <c r="B43" s="185"/>
      <c r="C43" s="183" t="s">
        <v>67</v>
      </c>
      <c r="D43" s="185"/>
      <c r="E43" s="185"/>
      <c r="F43" s="185"/>
      <c r="G43" s="185"/>
      <c r="H43" s="185"/>
      <c r="I43" s="15">
        <v>73543</v>
      </c>
      <c r="J43" s="15">
        <v>62051</v>
      </c>
      <c r="K43" s="15">
        <v>63724</v>
      </c>
      <c r="L43" s="15">
        <v>73487</v>
      </c>
      <c r="M43" s="15">
        <v>62410</v>
      </c>
      <c r="N43" s="5"/>
    </row>
    <row r="44" spans="1:14" s="133" customFormat="1" x14ac:dyDescent="0.3">
      <c r="A44" s="185"/>
      <c r="B44" s="185"/>
      <c r="C44" s="183" t="s">
        <v>68</v>
      </c>
      <c r="D44" s="185"/>
      <c r="E44" s="185"/>
      <c r="F44" s="185"/>
      <c r="G44" s="185"/>
      <c r="H44" s="185"/>
      <c r="I44" s="15">
        <v>1808</v>
      </c>
      <c r="J44" s="15">
        <v>2524</v>
      </c>
      <c r="K44" s="15">
        <v>1642</v>
      </c>
      <c r="L44" s="15">
        <v>1490</v>
      </c>
      <c r="M44" s="15">
        <v>1278</v>
      </c>
      <c r="N44" s="5"/>
    </row>
    <row r="45" spans="1:14" s="133" customFormat="1" x14ac:dyDescent="0.3">
      <c r="A45" s="185"/>
      <c r="B45" s="185"/>
      <c r="C45" s="183" t="s">
        <v>69</v>
      </c>
      <c r="D45" s="185"/>
      <c r="E45" s="185"/>
      <c r="F45" s="185"/>
      <c r="G45" s="185"/>
      <c r="H45" s="185"/>
      <c r="I45" s="15">
        <v>4488</v>
      </c>
      <c r="J45" s="15">
        <v>6910</v>
      </c>
      <c r="K45" s="15">
        <v>7714</v>
      </c>
      <c r="L45" s="15">
        <v>7497</v>
      </c>
      <c r="M45" s="15">
        <v>10201</v>
      </c>
      <c r="N45" s="5"/>
    </row>
    <row r="46" spans="1:14" s="133" customFormat="1" x14ac:dyDescent="0.3">
      <c r="A46" s="185"/>
      <c r="B46" s="185"/>
      <c r="C46" s="183" t="s">
        <v>70</v>
      </c>
      <c r="D46" s="185"/>
      <c r="E46" s="185"/>
      <c r="F46" s="185"/>
      <c r="G46" s="185"/>
      <c r="H46" s="185"/>
      <c r="I46" s="15">
        <v>1175</v>
      </c>
      <c r="J46" s="15">
        <v>1234</v>
      </c>
      <c r="K46" s="15">
        <v>2658</v>
      </c>
      <c r="L46" s="15">
        <v>3100</v>
      </c>
      <c r="M46" s="15">
        <v>2942</v>
      </c>
      <c r="N46" s="5"/>
    </row>
    <row r="47" spans="1:14" s="133" customFormat="1" x14ac:dyDescent="0.3">
      <c r="A47" s="185"/>
      <c r="B47" s="185"/>
      <c r="C47" s="183" t="s">
        <v>71</v>
      </c>
      <c r="D47" s="185"/>
      <c r="E47" s="185"/>
      <c r="F47" s="185"/>
      <c r="G47" s="185"/>
      <c r="H47" s="185"/>
      <c r="I47" s="15">
        <v>3980</v>
      </c>
      <c r="J47" s="15">
        <v>3656</v>
      </c>
      <c r="K47" s="15">
        <v>1473</v>
      </c>
      <c r="L47" s="15">
        <v>1342</v>
      </c>
      <c r="M47" s="15">
        <v>1020</v>
      </c>
      <c r="N47" s="5"/>
    </row>
    <row r="48" spans="1:14" s="133" customFormat="1" x14ac:dyDescent="0.3">
      <c r="A48" s="185"/>
      <c r="B48" s="185"/>
      <c r="C48" s="183" t="s">
        <v>72</v>
      </c>
      <c r="D48" s="185"/>
      <c r="E48" s="185"/>
      <c r="F48" s="185"/>
      <c r="G48" s="185"/>
      <c r="H48" s="185"/>
      <c r="I48" s="15">
        <v>727</v>
      </c>
      <c r="J48" s="15">
        <v>1238</v>
      </c>
      <c r="K48" s="15">
        <v>1270</v>
      </c>
      <c r="L48" s="15">
        <v>1354</v>
      </c>
      <c r="M48" s="15">
        <v>1188</v>
      </c>
      <c r="N48" s="5"/>
    </row>
    <row r="49" spans="1:14" s="133" customFormat="1" x14ac:dyDescent="0.3">
      <c r="A49" s="185"/>
      <c r="B49" s="186" t="s">
        <v>73</v>
      </c>
      <c r="C49" s="187"/>
      <c r="D49" s="187"/>
      <c r="E49" s="187"/>
      <c r="F49" s="187"/>
      <c r="G49" s="187"/>
      <c r="H49" s="187"/>
      <c r="I49" s="18">
        <f>SUM(I41:I48)</f>
        <v>98989</v>
      </c>
      <c r="J49" s="18">
        <f t="shared" ref="J49:M49" si="6">SUM(J41:J48)</f>
        <v>85072</v>
      </c>
      <c r="K49" s="18">
        <f t="shared" si="6"/>
        <v>86916</v>
      </c>
      <c r="L49" s="18">
        <f t="shared" si="6"/>
        <v>96554</v>
      </c>
      <c r="M49" s="18">
        <f t="shared" si="6"/>
        <v>87458</v>
      </c>
      <c r="N49" s="5"/>
    </row>
    <row r="50" spans="1:14" s="133" customFormat="1" x14ac:dyDescent="0.3">
      <c r="A50" s="185"/>
      <c r="B50" s="185"/>
      <c r="C50" s="183" t="s">
        <v>74</v>
      </c>
      <c r="D50" s="185"/>
      <c r="E50" s="185"/>
      <c r="F50" s="185"/>
      <c r="G50" s="185"/>
      <c r="H50" s="185"/>
      <c r="I50" s="15">
        <v>10655</v>
      </c>
      <c r="J50" s="15">
        <v>12204</v>
      </c>
      <c r="K50" s="15">
        <v>12705</v>
      </c>
      <c r="L50" s="15">
        <v>11312</v>
      </c>
      <c r="M50" s="15">
        <v>10665</v>
      </c>
      <c r="N50" s="5"/>
    </row>
    <row r="51" spans="1:14" s="133" customFormat="1" x14ac:dyDescent="0.3">
      <c r="A51" s="185"/>
      <c r="B51" s="185"/>
      <c r="C51" s="183" t="s">
        <v>66</v>
      </c>
      <c r="D51" s="185"/>
      <c r="E51" s="185"/>
      <c r="F51" s="185"/>
      <c r="G51" s="185"/>
      <c r="H51" s="185"/>
      <c r="I51" s="15">
        <v>8053</v>
      </c>
      <c r="J51" s="15">
        <v>9585</v>
      </c>
      <c r="K51" s="15">
        <v>7955</v>
      </c>
      <c r="L51" s="15">
        <v>7688</v>
      </c>
      <c r="M51" s="15">
        <v>7846</v>
      </c>
      <c r="N51" s="5"/>
    </row>
    <row r="52" spans="1:14" s="133" customFormat="1" x14ac:dyDescent="0.3">
      <c r="A52" s="185"/>
      <c r="B52" s="185"/>
      <c r="C52" s="183" t="s">
        <v>67</v>
      </c>
      <c r="D52" s="185"/>
      <c r="E52" s="185"/>
      <c r="F52" s="185"/>
      <c r="G52" s="185"/>
      <c r="H52" s="185"/>
      <c r="I52" s="15">
        <v>52300</v>
      </c>
      <c r="J52" s="15">
        <v>49786</v>
      </c>
      <c r="K52" s="15">
        <v>45707</v>
      </c>
      <c r="L52" s="15">
        <v>39311</v>
      </c>
      <c r="M52" s="15">
        <v>37596</v>
      </c>
      <c r="N52" s="5"/>
    </row>
    <row r="53" spans="1:14" s="133" customFormat="1" x14ac:dyDescent="0.3">
      <c r="A53" s="185"/>
      <c r="B53" s="185"/>
      <c r="C53" s="183" t="s">
        <v>68</v>
      </c>
      <c r="D53" s="185"/>
      <c r="E53" s="185"/>
      <c r="F53" s="185"/>
      <c r="G53" s="185"/>
      <c r="H53" s="185"/>
      <c r="I53" s="15">
        <v>5997</v>
      </c>
      <c r="J53" s="15">
        <v>5404</v>
      </c>
      <c r="K53" s="15">
        <v>4357</v>
      </c>
      <c r="L53" s="15">
        <v>4071</v>
      </c>
      <c r="M53" s="15">
        <v>4277</v>
      </c>
      <c r="N53" s="5"/>
    </row>
    <row r="54" spans="1:14" s="133" customFormat="1" x14ac:dyDescent="0.3">
      <c r="A54" s="185"/>
      <c r="B54" s="185"/>
      <c r="C54" s="183" t="s">
        <v>70</v>
      </c>
      <c r="D54" s="185"/>
      <c r="E54" s="185"/>
      <c r="F54" s="185"/>
      <c r="G54" s="185"/>
      <c r="H54" s="185"/>
      <c r="I54" s="15">
        <v>1486</v>
      </c>
      <c r="J54" s="15">
        <v>1391</v>
      </c>
      <c r="K54" s="15">
        <v>7733</v>
      </c>
      <c r="L54" s="15">
        <v>8146</v>
      </c>
      <c r="M54" s="15">
        <v>7955</v>
      </c>
      <c r="N54" s="5"/>
    </row>
    <row r="55" spans="1:14" s="133" customFormat="1" x14ac:dyDescent="0.3">
      <c r="A55" s="185"/>
      <c r="B55" s="185"/>
      <c r="C55" s="183" t="s">
        <v>71</v>
      </c>
      <c r="D55" s="185"/>
      <c r="E55" s="185"/>
      <c r="F55" s="185"/>
      <c r="G55" s="185"/>
      <c r="H55" s="185"/>
      <c r="I55" s="15">
        <v>5929</v>
      </c>
      <c r="J55" s="15">
        <v>6898</v>
      </c>
      <c r="K55" s="15">
        <v>948</v>
      </c>
      <c r="L55" s="15">
        <v>705</v>
      </c>
      <c r="M55" s="15">
        <v>646</v>
      </c>
      <c r="N55" s="5"/>
    </row>
    <row r="56" spans="1:14" s="133" customFormat="1" x14ac:dyDescent="0.3">
      <c r="A56" s="185"/>
      <c r="B56" s="185"/>
      <c r="C56" s="183" t="s">
        <v>72</v>
      </c>
      <c r="D56" s="185"/>
      <c r="E56" s="185"/>
      <c r="F56" s="185"/>
      <c r="G56" s="185"/>
      <c r="H56" s="185"/>
      <c r="I56" s="15">
        <v>3086</v>
      </c>
      <c r="J56" s="15">
        <v>3135</v>
      </c>
      <c r="K56" s="15">
        <v>3661</v>
      </c>
      <c r="L56" s="15">
        <v>3547</v>
      </c>
      <c r="M56" s="15">
        <v>3443</v>
      </c>
      <c r="N56" s="5"/>
    </row>
    <row r="57" spans="1:14" s="133" customFormat="1" x14ac:dyDescent="0.3">
      <c r="A57" s="185"/>
      <c r="B57" s="185"/>
      <c r="C57" s="183" t="s">
        <v>75</v>
      </c>
      <c r="D57" s="185"/>
      <c r="E57" s="185"/>
      <c r="F57" s="185"/>
      <c r="G57" s="185"/>
      <c r="H57" s="185"/>
      <c r="I57" s="15">
        <v>169</v>
      </c>
      <c r="J57" s="15">
        <v>0</v>
      </c>
      <c r="K57" s="15">
        <v>224</v>
      </c>
      <c r="L57" s="15">
        <v>46</v>
      </c>
      <c r="M57" s="15">
        <v>1340</v>
      </c>
      <c r="N57" s="5"/>
    </row>
    <row r="58" spans="1:14" s="133" customFormat="1" x14ac:dyDescent="0.3">
      <c r="A58" s="185"/>
      <c r="B58" s="186" t="s">
        <v>76</v>
      </c>
      <c r="C58" s="187"/>
      <c r="D58" s="187"/>
      <c r="E58" s="187"/>
      <c r="F58" s="187"/>
      <c r="G58" s="187"/>
      <c r="H58" s="187"/>
      <c r="I58" s="18">
        <f>SUM(I50:I57)</f>
        <v>87675</v>
      </c>
      <c r="J58" s="18">
        <f t="shared" ref="J58:M58" si="7">SUM(J50:J57)</f>
        <v>88403</v>
      </c>
      <c r="K58" s="18">
        <f t="shared" si="7"/>
        <v>83290</v>
      </c>
      <c r="L58" s="18">
        <f t="shared" si="7"/>
        <v>74826</v>
      </c>
      <c r="M58" s="18">
        <f t="shared" si="7"/>
        <v>73768</v>
      </c>
      <c r="N58" s="5"/>
    </row>
    <row r="59" spans="1:14" s="133" customFormat="1" ht="17.25" thickBot="1" x14ac:dyDescent="0.35">
      <c r="A59" s="185"/>
      <c r="B59" s="188" t="s">
        <v>77</v>
      </c>
      <c r="C59" s="189"/>
      <c r="D59" s="189"/>
      <c r="E59" s="189"/>
      <c r="F59" s="189"/>
      <c r="G59" s="189"/>
      <c r="H59" s="189"/>
      <c r="I59" s="26">
        <f>I40+I49+I58</f>
        <v>259831</v>
      </c>
      <c r="J59" s="26">
        <f>J40+J49+J58</f>
        <v>260015</v>
      </c>
      <c r="K59" s="26">
        <f>K40+K49+K58</f>
        <v>263022</v>
      </c>
      <c r="L59" s="26">
        <f>L40+L49+L58</f>
        <v>265010</v>
      </c>
      <c r="M59" s="26">
        <f>M40+M49+M58</f>
        <v>255466</v>
      </c>
      <c r="N59" s="5"/>
    </row>
    <row r="60" spans="1:14" s="133" customFormat="1" x14ac:dyDescent="0.3">
      <c r="A60" s="185"/>
      <c r="B60" s="190"/>
      <c r="C60" s="185"/>
      <c r="D60" s="185"/>
      <c r="E60" s="185"/>
      <c r="F60" s="185"/>
      <c r="G60" s="185"/>
      <c r="H60" s="166"/>
      <c r="I60" s="22"/>
      <c r="J60" s="22"/>
      <c r="K60" s="22"/>
      <c r="L60" s="22"/>
      <c r="M60" s="22"/>
      <c r="N60" s="5"/>
    </row>
    <row r="61" spans="1:14" s="133" customFormat="1" x14ac:dyDescent="0.3">
      <c r="A61" s="185"/>
      <c r="B61" s="185"/>
      <c r="C61" s="191" t="s">
        <v>111</v>
      </c>
      <c r="D61" s="191"/>
      <c r="E61" s="191"/>
      <c r="F61" s="191"/>
      <c r="G61" s="191"/>
      <c r="H61" s="192"/>
      <c r="I61" s="29">
        <f>ROUNDUP(I59-I30,0)</f>
        <v>0</v>
      </c>
      <c r="J61" s="29">
        <f>ROUNDUP(J59-J30,0)</f>
        <v>0</v>
      </c>
      <c r="K61" s="29">
        <f>ROUNDUP(K59-K30,0)</f>
        <v>0</v>
      </c>
      <c r="L61" s="29">
        <f>ROUNDUP(L59-L30,0)</f>
        <v>0</v>
      </c>
      <c r="M61" s="29">
        <f>ROUNDUP(M59-M30,0)</f>
        <v>0</v>
      </c>
      <c r="N61" s="5"/>
    </row>
    <row r="62" spans="1:14" s="133" customFormat="1" x14ac:dyDescent="0.3">
      <c r="A62" s="185"/>
      <c r="B62" s="185"/>
      <c r="C62" s="191"/>
      <c r="D62" s="191"/>
      <c r="E62" s="191"/>
      <c r="F62" s="191"/>
      <c r="G62" s="191"/>
      <c r="H62" s="192"/>
      <c r="I62" s="29"/>
      <c r="J62" s="29"/>
      <c r="K62" s="29"/>
      <c r="L62" s="29"/>
      <c r="M62" s="29"/>
      <c r="N62" s="5"/>
    </row>
    <row r="63" spans="1:14" x14ac:dyDescent="0.3">
      <c r="A63" s="182"/>
      <c r="B63" s="193" t="s">
        <v>166</v>
      </c>
      <c r="C63" s="182"/>
      <c r="D63" s="182"/>
      <c r="E63" s="182"/>
      <c r="F63" s="182"/>
      <c r="G63" s="182"/>
      <c r="H63" s="182"/>
      <c r="I63" s="13"/>
      <c r="J63" s="13"/>
      <c r="K63" s="13"/>
      <c r="L63" s="13"/>
      <c r="M63" s="13"/>
      <c r="N63" s="13"/>
    </row>
    <row r="64" spans="1:14" x14ac:dyDescent="0.3">
      <c r="A64" s="182" t="s">
        <v>29</v>
      </c>
      <c r="B64" s="187"/>
      <c r="C64" s="187"/>
      <c r="D64" s="187"/>
      <c r="E64" s="187"/>
      <c r="F64" s="187"/>
      <c r="G64" s="187"/>
      <c r="H64" s="187"/>
      <c r="I64" s="17"/>
      <c r="J64" s="17"/>
      <c r="K64" s="17"/>
      <c r="L64" s="17"/>
      <c r="M64" s="17"/>
      <c r="N64" s="17"/>
    </row>
    <row r="65" spans="2:2" x14ac:dyDescent="0.3">
      <c r="B65" s="133"/>
    </row>
    <row r="66" spans="2:2" x14ac:dyDescent="0.3">
      <c r="B66" s="133"/>
    </row>
  </sheetData>
  <conditionalFormatting sqref="I61:M62">
    <cfRule type="expression" dxfId="2" priority="1">
      <formula>$I$61&lt;&gt;0</formula>
    </cfRule>
  </conditionalFormatting>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62D85-4164-4D41-A4D6-19A695CC584E}">
  <sheetPr>
    <outlinePr showOutlineSymbols="0"/>
    <pageSetUpPr autoPageBreaks="0"/>
  </sheetPr>
  <dimension ref="A1:O58"/>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6384" width="9.140625" style="194"/>
  </cols>
  <sheetData>
    <row r="1" spans="1:14" ht="6" customHeight="1" x14ac:dyDescent="0.3"/>
    <row r="2" spans="1:14" ht="39.950000000000003" customHeight="1" x14ac:dyDescent="0.3">
      <c r="B2" s="195"/>
      <c r="C2" s="195"/>
      <c r="D2" s="241" t="s">
        <v>28</v>
      </c>
      <c r="E2" s="195"/>
      <c r="F2" s="195"/>
      <c r="G2" s="195"/>
      <c r="H2" s="195"/>
      <c r="I2" s="196"/>
      <c r="J2" s="195"/>
      <c r="K2" s="195"/>
      <c r="L2" s="195"/>
      <c r="M2" s="195"/>
      <c r="N2" s="195"/>
    </row>
    <row r="4" spans="1:14" x14ac:dyDescent="0.3">
      <c r="A4" s="194" t="s">
        <v>29</v>
      </c>
      <c r="B4" s="197" t="s">
        <v>168</v>
      </c>
      <c r="C4" s="198"/>
      <c r="D4" s="198"/>
      <c r="E4" s="198"/>
      <c r="F4" s="198"/>
      <c r="G4" s="198"/>
      <c r="H4" s="198"/>
      <c r="I4" s="198"/>
      <c r="J4" s="198"/>
      <c r="K4" s="198"/>
      <c r="L4" s="198"/>
      <c r="M4" s="198"/>
      <c r="N4" s="198"/>
    </row>
    <row r="6" spans="1:14" ht="17.25" thickBot="1" x14ac:dyDescent="0.35">
      <c r="B6" s="240" t="s">
        <v>20</v>
      </c>
      <c r="H6" s="199"/>
      <c r="I6" s="200">
        <v>2021</v>
      </c>
      <c r="J6" s="200">
        <f>I6+1</f>
        <v>2022</v>
      </c>
      <c r="K6" s="200">
        <f t="shared" ref="K6:M6" si="0">J6+1</f>
        <v>2023</v>
      </c>
      <c r="L6" s="200">
        <f t="shared" si="0"/>
        <v>2024</v>
      </c>
      <c r="M6" s="200">
        <f t="shared" si="0"/>
        <v>2025</v>
      </c>
    </row>
    <row r="7" spans="1:14" x14ac:dyDescent="0.3">
      <c r="A7" s="13"/>
      <c r="B7" s="11"/>
      <c r="C7" s="12"/>
      <c r="D7" s="13"/>
      <c r="E7" s="13"/>
      <c r="F7" s="13"/>
      <c r="G7" s="13"/>
      <c r="H7" s="13"/>
      <c r="I7" s="13"/>
      <c r="J7" s="13"/>
      <c r="K7" s="13"/>
      <c r="L7" s="13"/>
      <c r="M7" s="13"/>
      <c r="N7" s="13"/>
    </row>
    <row r="8" spans="1:14" x14ac:dyDescent="0.3">
      <c r="A8" s="13"/>
      <c r="B8" s="13"/>
      <c r="C8" s="12"/>
      <c r="D8" s="13"/>
      <c r="E8" s="13"/>
      <c r="F8" s="13"/>
      <c r="G8" s="13"/>
      <c r="H8" s="102"/>
      <c r="I8" s="102"/>
      <c r="J8" s="102"/>
      <c r="K8" s="102"/>
      <c r="L8" s="102"/>
      <c r="M8" s="102"/>
      <c r="N8" s="102"/>
    </row>
    <row r="9" spans="1:14" x14ac:dyDescent="0.3">
      <c r="A9" s="13"/>
      <c r="B9" s="5" t="s">
        <v>39</v>
      </c>
      <c r="C9" s="12"/>
      <c r="D9" s="13"/>
      <c r="E9" s="13"/>
      <c r="F9" s="5"/>
      <c r="G9" s="5"/>
      <c r="H9" s="27"/>
      <c r="I9" s="15">
        <v>28775</v>
      </c>
      <c r="J9" s="15">
        <v>20304</v>
      </c>
      <c r="K9" s="15">
        <v>20084</v>
      </c>
      <c r="L9" s="15">
        <v>14147</v>
      </c>
      <c r="M9" s="15">
        <v>6284</v>
      </c>
      <c r="N9" s="102"/>
    </row>
    <row r="10" spans="1:14" x14ac:dyDescent="0.3">
      <c r="A10" s="13"/>
      <c r="B10" s="5" t="s">
        <v>80</v>
      </c>
      <c r="C10" s="12"/>
      <c r="D10" s="13"/>
      <c r="E10" s="13"/>
      <c r="F10" s="5"/>
      <c r="G10" s="5"/>
      <c r="H10" s="27"/>
      <c r="I10" s="15">
        <v>6980</v>
      </c>
      <c r="J10" s="15">
        <v>6521</v>
      </c>
      <c r="K10" s="15">
        <v>6663</v>
      </c>
      <c r="L10" s="15">
        <v>6772</v>
      </c>
      <c r="M10" s="15">
        <v>7223</v>
      </c>
      <c r="N10" s="102"/>
    </row>
    <row r="11" spans="1:14" s="133" customFormat="1" x14ac:dyDescent="0.3">
      <c r="A11" s="5"/>
      <c r="B11" s="5" t="s">
        <v>81</v>
      </c>
      <c r="C11" s="12"/>
      <c r="D11" s="5"/>
      <c r="E11" s="5"/>
      <c r="F11" s="5"/>
      <c r="G11" s="5"/>
      <c r="H11" s="27"/>
      <c r="I11" s="15">
        <v>-11503</v>
      </c>
      <c r="J11" s="15">
        <v>-1296</v>
      </c>
      <c r="K11" s="15">
        <v>-2369</v>
      </c>
      <c r="L11" s="15">
        <v>-1362</v>
      </c>
      <c r="M11" s="15">
        <v>-1204</v>
      </c>
      <c r="N11" s="27"/>
    </row>
    <row r="12" spans="1:14" s="133" customFormat="1" x14ac:dyDescent="0.3">
      <c r="A12" s="5"/>
      <c r="B12" s="5" t="s">
        <v>82</v>
      </c>
      <c r="C12" s="12"/>
      <c r="D12" s="5"/>
      <c r="E12" s="5"/>
      <c r="F12" s="5"/>
      <c r="G12" s="5"/>
      <c r="H12" s="27"/>
      <c r="I12" s="15">
        <v>-695</v>
      </c>
      <c r="J12" s="15">
        <v>-990</v>
      </c>
      <c r="K12" s="15">
        <v>-92</v>
      </c>
      <c r="L12" s="15">
        <v>18</v>
      </c>
      <c r="M12" s="15">
        <v>65</v>
      </c>
      <c r="N12" s="27"/>
    </row>
    <row r="13" spans="1:14" x14ac:dyDescent="0.3">
      <c r="A13" s="13"/>
      <c r="B13" s="5" t="s">
        <v>83</v>
      </c>
      <c r="C13" s="12"/>
      <c r="D13" s="13"/>
      <c r="E13" s="13"/>
      <c r="F13" s="5"/>
      <c r="G13" s="5"/>
      <c r="H13" s="27"/>
      <c r="I13" s="22"/>
      <c r="J13" s="22"/>
      <c r="K13" s="22"/>
      <c r="L13" s="22"/>
      <c r="M13" s="22"/>
      <c r="N13" s="102"/>
    </row>
    <row r="14" spans="1:14" s="133" customFormat="1" x14ac:dyDescent="0.3">
      <c r="A14" s="5"/>
      <c r="B14" s="23" t="s">
        <v>5</v>
      </c>
      <c r="C14" s="12"/>
      <c r="D14" s="5"/>
      <c r="E14" s="5"/>
      <c r="F14" s="5"/>
      <c r="G14" s="5"/>
      <c r="H14" s="27"/>
      <c r="I14" s="15">
        <v>-2561</v>
      </c>
      <c r="J14" s="15">
        <v>-4111</v>
      </c>
      <c r="K14" s="15">
        <v>-2420</v>
      </c>
      <c r="L14" s="15">
        <v>737</v>
      </c>
      <c r="M14" s="15">
        <v>724</v>
      </c>
      <c r="N14" s="27"/>
    </row>
    <row r="15" spans="1:14" x14ac:dyDescent="0.3">
      <c r="A15" s="13"/>
      <c r="B15" s="23" t="s">
        <v>84</v>
      </c>
      <c r="C15" s="12"/>
      <c r="D15" s="13"/>
      <c r="E15" s="13"/>
      <c r="F15" s="5"/>
      <c r="G15" s="5"/>
      <c r="H15" s="27"/>
      <c r="I15" s="15">
        <v>1694</v>
      </c>
      <c r="J15" s="15">
        <v>1029</v>
      </c>
      <c r="K15" s="15">
        <v>1310</v>
      </c>
      <c r="L15" s="15">
        <v>-1199</v>
      </c>
      <c r="M15" s="15">
        <v>895</v>
      </c>
      <c r="N15" s="102"/>
    </row>
    <row r="16" spans="1:14" x14ac:dyDescent="0.3">
      <c r="A16" s="13"/>
      <c r="B16" s="23" t="s">
        <v>45</v>
      </c>
      <c r="C16" s="12"/>
      <c r="D16" s="13"/>
      <c r="E16" s="13"/>
      <c r="F16" s="5"/>
      <c r="G16" s="5"/>
      <c r="H16" s="27"/>
      <c r="I16" s="15">
        <v>3879</v>
      </c>
      <c r="J16" s="15">
        <v>-5327</v>
      </c>
      <c r="K16" s="15">
        <v>-6125</v>
      </c>
      <c r="L16" s="15">
        <v>3280</v>
      </c>
      <c r="M16" s="15">
        <v>5828</v>
      </c>
      <c r="N16" s="102"/>
    </row>
    <row r="17" spans="1:14" x14ac:dyDescent="0.3">
      <c r="A17" s="13"/>
      <c r="B17" s="23" t="s">
        <v>85</v>
      </c>
      <c r="C17" s="12"/>
      <c r="D17" s="13"/>
      <c r="E17" s="13"/>
      <c r="F17" s="5"/>
      <c r="G17" s="5"/>
      <c r="H17" s="27"/>
      <c r="I17" s="15">
        <v>1428</v>
      </c>
      <c r="J17" s="15">
        <v>3810</v>
      </c>
      <c r="K17" s="15">
        <v>-640</v>
      </c>
      <c r="L17" s="15">
        <v>-3110</v>
      </c>
      <c r="M17" s="15">
        <v>-4060</v>
      </c>
      <c r="N17" s="102"/>
    </row>
    <row r="18" spans="1:14" x14ac:dyDescent="0.3">
      <c r="A18" s="13"/>
      <c r="B18" s="23" t="s">
        <v>86</v>
      </c>
      <c r="C18" s="12"/>
      <c r="D18" s="13"/>
      <c r="E18" s="13"/>
      <c r="F18" s="5"/>
      <c r="G18" s="5"/>
      <c r="H18" s="27"/>
      <c r="I18" s="15">
        <v>-1261</v>
      </c>
      <c r="J18" s="15">
        <v>358</v>
      </c>
      <c r="K18" s="15">
        <v>1624</v>
      </c>
      <c r="L18" s="15">
        <v>986</v>
      </c>
      <c r="M18" s="15">
        <v>2585</v>
      </c>
      <c r="N18" s="102"/>
    </row>
    <row r="19" spans="1:14" x14ac:dyDescent="0.3">
      <c r="A19" s="13"/>
      <c r="B19" s="5" t="s">
        <v>87</v>
      </c>
      <c r="C19" s="13"/>
      <c r="D19" s="13"/>
      <c r="E19" s="13"/>
      <c r="F19" s="13"/>
      <c r="G19" s="13"/>
      <c r="H19" s="102"/>
      <c r="I19" s="15">
        <v>1625</v>
      </c>
      <c r="J19" s="15">
        <v>1605</v>
      </c>
      <c r="K19" s="15">
        <v>2056</v>
      </c>
      <c r="L19" s="15">
        <v>1918</v>
      </c>
      <c r="M19" s="15">
        <v>1330</v>
      </c>
      <c r="N19" s="102"/>
    </row>
    <row r="20" spans="1:14" s="133" customFormat="1" x14ac:dyDescent="0.3">
      <c r="A20" s="5"/>
      <c r="B20" s="5" t="s">
        <v>88</v>
      </c>
      <c r="C20" s="12"/>
      <c r="D20" s="5"/>
      <c r="E20" s="5"/>
      <c r="F20" s="5"/>
      <c r="G20" s="5"/>
      <c r="H20" s="27"/>
      <c r="I20" s="15">
        <v>-3812</v>
      </c>
      <c r="J20" s="15">
        <v>-5009</v>
      </c>
      <c r="K20" s="15">
        <v>-5621</v>
      </c>
      <c r="L20" s="15">
        <v>-4452</v>
      </c>
      <c r="M20" s="15">
        <v>-1664</v>
      </c>
      <c r="N20" s="27"/>
    </row>
    <row r="21" spans="1:14" s="133" customFormat="1" x14ac:dyDescent="0.3">
      <c r="A21" s="5"/>
      <c r="B21" s="249" t="s">
        <v>89</v>
      </c>
      <c r="C21" s="250"/>
      <c r="D21" s="251"/>
      <c r="E21" s="251"/>
      <c r="F21" s="251"/>
      <c r="G21" s="251"/>
      <c r="H21" s="252"/>
      <c r="I21" s="31">
        <f>SUM(I9:I20)</f>
        <v>24549</v>
      </c>
      <c r="J21" s="31">
        <f t="shared" ref="J21:M21" si="1">SUM(J9:J20)</f>
        <v>16894</v>
      </c>
      <c r="K21" s="31">
        <f t="shared" si="1"/>
        <v>14470</v>
      </c>
      <c r="L21" s="31">
        <f t="shared" si="1"/>
        <v>17735</v>
      </c>
      <c r="M21" s="31">
        <f t="shared" si="1"/>
        <v>18006</v>
      </c>
      <c r="N21" s="252"/>
    </row>
    <row r="22" spans="1:14" s="133" customFormat="1" x14ac:dyDescent="0.3">
      <c r="A22" s="5"/>
      <c r="B22" s="21"/>
      <c r="C22" s="92"/>
      <c r="D22" s="5"/>
      <c r="E22" s="5"/>
      <c r="F22" s="5"/>
      <c r="G22" s="5"/>
      <c r="H22" s="27"/>
      <c r="I22" s="30"/>
      <c r="J22" s="30"/>
      <c r="K22" s="30"/>
      <c r="L22" s="30"/>
      <c r="M22" s="30"/>
      <c r="N22" s="27"/>
    </row>
    <row r="23" spans="1:14" s="133" customFormat="1" x14ac:dyDescent="0.3">
      <c r="A23" s="5"/>
      <c r="B23" s="5" t="s">
        <v>90</v>
      </c>
      <c r="C23" s="12"/>
      <c r="D23" s="5"/>
      <c r="E23" s="5"/>
      <c r="F23" s="5"/>
      <c r="G23" s="5"/>
      <c r="H23" s="27"/>
      <c r="I23" s="15">
        <v>-4579</v>
      </c>
      <c r="J23" s="15">
        <v>-3481</v>
      </c>
      <c r="K23" s="15">
        <v>-3745</v>
      </c>
      <c r="L23" s="15">
        <v>-4039</v>
      </c>
      <c r="M23" s="15">
        <v>-5482</v>
      </c>
      <c r="N23" s="27"/>
    </row>
    <row r="24" spans="1:14" s="133" customFormat="1" x14ac:dyDescent="0.3">
      <c r="A24" s="5"/>
      <c r="B24" s="5" t="s">
        <v>91</v>
      </c>
      <c r="C24" s="12"/>
      <c r="D24" s="5"/>
      <c r="E24" s="5"/>
      <c r="F24" s="5"/>
      <c r="G24" s="5"/>
      <c r="H24" s="27"/>
      <c r="I24" s="15">
        <v>-2741</v>
      </c>
      <c r="J24" s="15">
        <v>-3418</v>
      </c>
      <c r="K24" s="15">
        <v>-4468</v>
      </c>
      <c r="L24" s="15">
        <v>-4626</v>
      </c>
      <c r="M24" s="15">
        <v>-4260</v>
      </c>
      <c r="N24" s="27"/>
    </row>
    <row r="25" spans="1:14" s="133" customFormat="1" x14ac:dyDescent="0.3">
      <c r="A25" s="5"/>
      <c r="B25" s="5" t="s">
        <v>92</v>
      </c>
      <c r="C25" s="12"/>
      <c r="D25" s="5"/>
      <c r="E25" s="5"/>
      <c r="F25" s="5"/>
      <c r="G25" s="5"/>
      <c r="H25" s="27"/>
      <c r="I25" s="15">
        <v>826</v>
      </c>
      <c r="J25" s="15">
        <v>469</v>
      </c>
      <c r="K25" s="15">
        <v>285</v>
      </c>
      <c r="L25" s="15">
        <v>188</v>
      </c>
      <c r="M25" s="15">
        <v>191</v>
      </c>
      <c r="N25" s="27"/>
    </row>
    <row r="26" spans="1:14" s="133" customFormat="1" x14ac:dyDescent="0.3">
      <c r="A26" s="5"/>
      <c r="B26" s="5" t="s">
        <v>93</v>
      </c>
      <c r="C26" s="12"/>
      <c r="D26" s="5"/>
      <c r="E26" s="5"/>
      <c r="F26" s="5"/>
      <c r="G26" s="5"/>
      <c r="H26" s="27"/>
      <c r="I26" s="15">
        <v>-573</v>
      </c>
      <c r="J26" s="15">
        <v>-849</v>
      </c>
      <c r="K26" s="15">
        <v>-334</v>
      </c>
      <c r="L26" s="15">
        <v>-363</v>
      </c>
      <c r="M26" s="15">
        <v>-304</v>
      </c>
      <c r="N26" s="27"/>
    </row>
    <row r="27" spans="1:14" s="133" customFormat="1" x14ac:dyDescent="0.3">
      <c r="A27" s="5"/>
      <c r="B27" s="5" t="s">
        <v>94</v>
      </c>
      <c r="C27" s="12"/>
      <c r="D27" s="5"/>
      <c r="E27" s="5"/>
      <c r="F27" s="5"/>
      <c r="G27" s="5"/>
      <c r="H27" s="27"/>
      <c r="I27" s="15">
        <v>793</v>
      </c>
      <c r="J27" s="15">
        <v>3337</v>
      </c>
      <c r="K27" s="15">
        <v>612</v>
      </c>
      <c r="L27" s="15">
        <v>716</v>
      </c>
      <c r="M27" s="15">
        <v>413</v>
      </c>
      <c r="N27" s="27"/>
    </row>
    <row r="28" spans="1:14" s="133" customFormat="1" x14ac:dyDescent="0.3">
      <c r="A28" s="5"/>
      <c r="B28" s="5" t="s">
        <v>120</v>
      </c>
      <c r="C28" s="12"/>
      <c r="D28" s="5"/>
      <c r="E28" s="5"/>
      <c r="F28" s="5"/>
      <c r="G28" s="5"/>
      <c r="H28" s="27"/>
      <c r="I28" s="15">
        <v>-5694</v>
      </c>
      <c r="J28" s="15">
        <v>-2622</v>
      </c>
      <c r="K28" s="15">
        <v>-4714</v>
      </c>
      <c r="L28" s="15">
        <v>-6785</v>
      </c>
      <c r="M28" s="15">
        <v>-12303</v>
      </c>
      <c r="N28" s="27"/>
    </row>
    <row r="29" spans="1:14" s="133" customFormat="1" x14ac:dyDescent="0.3">
      <c r="A29" s="5"/>
      <c r="B29" s="5" t="s">
        <v>95</v>
      </c>
      <c r="C29" s="12"/>
      <c r="D29" s="5"/>
      <c r="E29" s="5"/>
      <c r="F29" s="5"/>
      <c r="G29" s="5"/>
      <c r="H29" s="27"/>
      <c r="I29" s="15">
        <v>4385</v>
      </c>
      <c r="J29" s="15">
        <v>3084</v>
      </c>
      <c r="K29" s="15">
        <v>5021</v>
      </c>
      <c r="L29" s="15">
        <v>6160</v>
      </c>
      <c r="M29" s="15">
        <v>12557</v>
      </c>
      <c r="N29" s="27"/>
    </row>
    <row r="30" spans="1:14" s="133" customFormat="1" x14ac:dyDescent="0.3">
      <c r="A30" s="5"/>
      <c r="B30" s="92" t="s">
        <v>116</v>
      </c>
      <c r="D30" s="5"/>
      <c r="E30" s="5"/>
      <c r="F30" s="5"/>
      <c r="G30" s="5"/>
      <c r="H30" s="27"/>
      <c r="I30" s="15">
        <v>6853</v>
      </c>
      <c r="J30" s="15">
        <v>0</v>
      </c>
      <c r="K30" s="15">
        <v>0</v>
      </c>
      <c r="L30" s="15">
        <v>0</v>
      </c>
      <c r="M30" s="15">
        <v>0</v>
      </c>
      <c r="N30" s="27"/>
    </row>
    <row r="31" spans="1:14" s="133" customFormat="1" x14ac:dyDescent="0.3">
      <c r="A31" s="5"/>
      <c r="B31" s="5" t="s">
        <v>115</v>
      </c>
      <c r="C31" s="92"/>
      <c r="D31" s="5"/>
      <c r="E31" s="5"/>
      <c r="F31" s="5"/>
      <c r="G31" s="5"/>
      <c r="H31" s="27"/>
      <c r="I31" s="15">
        <v>-5489</v>
      </c>
      <c r="J31" s="15">
        <v>0</v>
      </c>
      <c r="K31" s="15">
        <v>0</v>
      </c>
      <c r="L31" s="15">
        <v>0</v>
      </c>
      <c r="M31" s="15">
        <v>0</v>
      </c>
      <c r="N31" s="27"/>
    </row>
    <row r="32" spans="1:14" s="133" customFormat="1" x14ac:dyDescent="0.3">
      <c r="A32" s="5"/>
      <c r="B32" s="5" t="s">
        <v>96</v>
      </c>
      <c r="C32" s="5"/>
      <c r="D32" s="5"/>
      <c r="E32" s="5"/>
      <c r="F32" s="5"/>
      <c r="G32" s="5"/>
      <c r="H32" s="27"/>
      <c r="I32" s="15">
        <v>-7</v>
      </c>
      <c r="J32" s="15">
        <v>27</v>
      </c>
      <c r="K32" s="15">
        <v>28</v>
      </c>
      <c r="L32" s="15">
        <v>-1</v>
      </c>
      <c r="M32" s="15">
        <v>-12</v>
      </c>
      <c r="N32" s="27"/>
    </row>
    <row r="33" spans="1:15" s="133" customFormat="1" x14ac:dyDescent="0.3">
      <c r="A33" s="5"/>
      <c r="B33" s="249" t="s">
        <v>117</v>
      </c>
      <c r="C33" s="251"/>
      <c r="D33" s="251"/>
      <c r="E33" s="251"/>
      <c r="F33" s="251"/>
      <c r="G33" s="251"/>
      <c r="H33" s="252"/>
      <c r="I33" s="31">
        <f>SUM(I23:I32)</f>
        <v>-6226</v>
      </c>
      <c r="J33" s="31">
        <f t="shared" ref="J33:M33" si="2">SUM(J23:J32)</f>
        <v>-3453</v>
      </c>
      <c r="K33" s="31">
        <f t="shared" si="2"/>
        <v>-7315</v>
      </c>
      <c r="L33" s="31">
        <f t="shared" si="2"/>
        <v>-8750</v>
      </c>
      <c r="M33" s="31">
        <f t="shared" si="2"/>
        <v>-9200</v>
      </c>
      <c r="N33" s="252"/>
    </row>
    <row r="34" spans="1:15" s="133" customFormat="1" x14ac:dyDescent="0.3">
      <c r="A34" s="5"/>
      <c r="B34" s="21"/>
      <c r="C34" s="5"/>
      <c r="D34" s="5"/>
      <c r="E34" s="5"/>
      <c r="F34" s="5"/>
      <c r="G34" s="5"/>
      <c r="H34" s="27"/>
      <c r="I34" s="30"/>
      <c r="J34" s="30"/>
      <c r="K34" s="30"/>
      <c r="L34" s="30"/>
      <c r="M34" s="30"/>
      <c r="N34" s="27"/>
    </row>
    <row r="35" spans="1:15" s="133" customFormat="1" x14ac:dyDescent="0.3">
      <c r="A35" s="5"/>
      <c r="B35" s="5" t="s">
        <v>118</v>
      </c>
      <c r="C35" s="5"/>
      <c r="D35" s="5"/>
      <c r="E35" s="5"/>
      <c r="F35" s="5"/>
      <c r="G35" s="5"/>
      <c r="H35" s="27"/>
      <c r="I35" s="15">
        <v>1463</v>
      </c>
      <c r="J35" s="15">
        <v>172</v>
      </c>
      <c r="K35" s="15">
        <v>-512</v>
      </c>
      <c r="L35" s="15">
        <v>-3171</v>
      </c>
      <c r="M35" s="15">
        <v>-3558</v>
      </c>
      <c r="N35" s="27"/>
    </row>
    <row r="36" spans="1:15" s="133" customFormat="1" x14ac:dyDescent="0.3">
      <c r="A36" s="5"/>
      <c r="B36" s="5" t="s">
        <v>119</v>
      </c>
      <c r="C36" s="5"/>
      <c r="D36" s="5"/>
      <c r="E36" s="5"/>
      <c r="F36" s="5"/>
      <c r="G36" s="5"/>
      <c r="H36" s="27"/>
      <c r="I36" s="15">
        <v>42196</v>
      </c>
      <c r="J36" s="15">
        <v>38429</v>
      </c>
      <c r="K36" s="15">
        <v>39288</v>
      </c>
      <c r="L36" s="15">
        <v>38338</v>
      </c>
      <c r="M36" s="15">
        <v>28598</v>
      </c>
      <c r="N36" s="27"/>
    </row>
    <row r="37" spans="1:15" s="133" customFormat="1" x14ac:dyDescent="0.3">
      <c r="A37" s="5"/>
      <c r="B37" s="5" t="s">
        <v>97</v>
      </c>
      <c r="C37" s="12"/>
      <c r="D37" s="5"/>
      <c r="E37" s="5"/>
      <c r="F37" s="5"/>
      <c r="G37" s="5"/>
      <c r="H37" s="27"/>
      <c r="I37" s="15">
        <v>-60859</v>
      </c>
      <c r="J37" s="15">
        <v>-51945</v>
      </c>
      <c r="K37" s="15">
        <v>-39473</v>
      </c>
      <c r="L37" s="15">
        <v>-35355</v>
      </c>
      <c r="M37" s="15">
        <v>-30970</v>
      </c>
      <c r="N37" s="27"/>
    </row>
    <row r="38" spans="1:15" s="133" customFormat="1" x14ac:dyDescent="0.3">
      <c r="A38" s="5"/>
      <c r="B38" s="5" t="s">
        <v>98</v>
      </c>
      <c r="C38" s="12"/>
      <c r="D38" s="5"/>
      <c r="E38" s="5"/>
      <c r="F38" s="5"/>
      <c r="G38" s="5"/>
      <c r="H38" s="27"/>
      <c r="I38" s="15">
        <v>-1444</v>
      </c>
      <c r="J38" s="15">
        <v>-5349</v>
      </c>
      <c r="K38" s="15">
        <v>-5556</v>
      </c>
      <c r="L38" s="15">
        <v>-5486</v>
      </c>
      <c r="M38" s="15">
        <v>-4140</v>
      </c>
      <c r="N38" s="27"/>
    </row>
    <row r="39" spans="1:15" s="133" customFormat="1" x14ac:dyDescent="0.3">
      <c r="A39" s="5"/>
      <c r="B39" s="5" t="s">
        <v>99</v>
      </c>
      <c r="C39" s="12"/>
      <c r="D39" s="5"/>
      <c r="E39" s="5"/>
      <c r="F39" s="5"/>
      <c r="G39" s="5"/>
      <c r="H39" s="27"/>
      <c r="I39" s="15">
        <v>-366</v>
      </c>
      <c r="J39" s="15">
        <v>-320</v>
      </c>
      <c r="K39" s="15">
        <v>-324</v>
      </c>
      <c r="L39" s="15">
        <v>-239</v>
      </c>
      <c r="M39" s="15">
        <v>-183</v>
      </c>
      <c r="N39" s="27"/>
    </row>
    <row r="40" spans="1:15" s="133" customFormat="1" x14ac:dyDescent="0.3">
      <c r="A40" s="5"/>
      <c r="B40" s="5" t="s">
        <v>100</v>
      </c>
      <c r="C40" s="12"/>
      <c r="D40" s="5"/>
      <c r="E40" s="5"/>
      <c r="F40" s="5"/>
      <c r="G40" s="5"/>
      <c r="H40" s="27"/>
      <c r="I40" s="15">
        <v>0</v>
      </c>
      <c r="J40" s="15">
        <v>-48</v>
      </c>
      <c r="K40" s="15">
        <v>-1941</v>
      </c>
      <c r="L40" s="15">
        <v>-4921</v>
      </c>
      <c r="M40" s="15">
        <v>-360</v>
      </c>
      <c r="N40" s="27"/>
    </row>
    <row r="41" spans="1:15" s="133" customFormat="1" x14ac:dyDescent="0.3">
      <c r="A41" s="5"/>
      <c r="B41" s="5" t="s">
        <v>96</v>
      </c>
      <c r="C41" s="12"/>
      <c r="D41" s="5"/>
      <c r="E41" s="5"/>
      <c r="F41" s="5"/>
      <c r="G41" s="5"/>
      <c r="H41" s="27"/>
      <c r="I41" s="15">
        <v>-49</v>
      </c>
      <c r="J41" s="15">
        <v>29</v>
      </c>
      <c r="K41" s="15">
        <v>127</v>
      </c>
      <c r="L41" s="15">
        <v>82</v>
      </c>
      <c r="M41" s="15">
        <v>160</v>
      </c>
      <c r="N41" s="27"/>
    </row>
    <row r="42" spans="1:15" s="133" customFormat="1" x14ac:dyDescent="0.3">
      <c r="A42" s="5"/>
      <c r="B42" s="249" t="s">
        <v>101</v>
      </c>
      <c r="C42" s="251"/>
      <c r="D42" s="251"/>
      <c r="E42" s="251"/>
      <c r="F42" s="251"/>
      <c r="G42" s="251"/>
      <c r="H42" s="252"/>
      <c r="I42" s="31">
        <f>SUM(I35:I41)</f>
        <v>-19059</v>
      </c>
      <c r="J42" s="31">
        <f t="shared" ref="J42:M42" si="3">SUM(J35:J41)</f>
        <v>-19032</v>
      </c>
      <c r="K42" s="31">
        <f t="shared" si="3"/>
        <v>-8391</v>
      </c>
      <c r="L42" s="31">
        <f t="shared" si="3"/>
        <v>-10752</v>
      </c>
      <c r="M42" s="31">
        <f t="shared" si="3"/>
        <v>-10453</v>
      </c>
      <c r="N42" s="252"/>
    </row>
    <row r="43" spans="1:15" s="133" customFormat="1" x14ac:dyDescent="0.3">
      <c r="A43" s="5"/>
      <c r="B43" s="21"/>
      <c r="C43" s="5"/>
      <c r="D43" s="5"/>
      <c r="E43" s="5"/>
      <c r="F43" s="5"/>
      <c r="G43" s="5"/>
      <c r="H43" s="27"/>
      <c r="I43" s="30"/>
      <c r="J43" s="30"/>
      <c r="K43" s="30"/>
      <c r="L43" s="30"/>
      <c r="M43" s="30"/>
      <c r="N43" s="27"/>
    </row>
    <row r="44" spans="1:15" s="133" customFormat="1" x14ac:dyDescent="0.3">
      <c r="A44" s="5"/>
      <c r="B44" s="5" t="s">
        <v>102</v>
      </c>
      <c r="C44" s="12"/>
      <c r="D44" s="5"/>
      <c r="E44" s="5"/>
      <c r="F44" s="5"/>
      <c r="G44" s="5"/>
      <c r="H44" s="27"/>
      <c r="I44" s="15">
        <v>870</v>
      </c>
      <c r="J44" s="15">
        <v>88</v>
      </c>
      <c r="K44" s="15">
        <v>-471</v>
      </c>
      <c r="L44" s="15">
        <v>311</v>
      </c>
      <c r="M44" s="15">
        <v>-593</v>
      </c>
      <c r="N44" s="27"/>
      <c r="O44" s="140"/>
    </row>
    <row r="45" spans="1:15" s="133" customFormat="1" x14ac:dyDescent="0.3">
      <c r="A45" s="5"/>
      <c r="B45" s="5"/>
      <c r="C45" s="92"/>
      <c r="D45" s="5"/>
      <c r="E45" s="5"/>
      <c r="F45" s="5"/>
      <c r="G45" s="5"/>
      <c r="H45" s="27"/>
      <c r="I45" s="15"/>
      <c r="J45" s="15"/>
      <c r="K45" s="15"/>
      <c r="L45" s="15"/>
      <c r="M45" s="15"/>
      <c r="N45" s="27"/>
      <c r="O45" s="140"/>
    </row>
    <row r="46" spans="1:15" s="133" customFormat="1" x14ac:dyDescent="0.3">
      <c r="A46" s="5"/>
      <c r="B46" s="21" t="s">
        <v>103</v>
      </c>
      <c r="C46" s="5"/>
      <c r="D46" s="5"/>
      <c r="E46" s="5"/>
      <c r="F46" s="5"/>
      <c r="G46" s="5"/>
      <c r="H46" s="113"/>
      <c r="I46" s="32">
        <f>I21+I33+I42+I44</f>
        <v>134</v>
      </c>
      <c r="J46" s="32">
        <f>J21+J33+J42+J44</f>
        <v>-5503</v>
      </c>
      <c r="K46" s="32">
        <f>K21+K33+K42+K44</f>
        <v>-1707</v>
      </c>
      <c r="L46" s="32">
        <f>L21+L33+L42+L44</f>
        <v>-1456</v>
      </c>
      <c r="M46" s="32">
        <f>M21+M33+M42+M44</f>
        <v>-2240</v>
      </c>
      <c r="N46" s="27"/>
      <c r="O46" s="140"/>
    </row>
    <row r="47" spans="1:15" s="133" customFormat="1" x14ac:dyDescent="0.3">
      <c r="A47" s="5"/>
      <c r="B47" s="253" t="s">
        <v>104</v>
      </c>
      <c r="C47" s="17"/>
      <c r="D47" s="17"/>
      <c r="E47" s="17"/>
      <c r="F47" s="17"/>
      <c r="G47" s="17"/>
      <c r="H47" s="145"/>
      <c r="I47" s="34">
        <v>23048</v>
      </c>
      <c r="J47" s="34">
        <v>23182</v>
      </c>
      <c r="K47" s="34">
        <v>17679</v>
      </c>
      <c r="L47" s="34">
        <v>15972</v>
      </c>
      <c r="M47" s="34">
        <v>14516</v>
      </c>
      <c r="N47" s="145"/>
    </row>
    <row r="48" spans="1:15" s="133" customFormat="1" x14ac:dyDescent="0.3">
      <c r="A48" s="5"/>
      <c r="B48" s="23" t="s">
        <v>105</v>
      </c>
      <c r="C48" s="12"/>
      <c r="D48" s="5"/>
      <c r="E48" s="5"/>
      <c r="F48" s="5"/>
      <c r="G48" s="5"/>
      <c r="H48" s="27"/>
      <c r="I48" s="15">
        <v>0</v>
      </c>
      <c r="J48" s="15">
        <v>62</v>
      </c>
      <c r="K48" s="15">
        <v>0</v>
      </c>
      <c r="L48" s="15">
        <v>10</v>
      </c>
      <c r="M48" s="15">
        <v>5</v>
      </c>
      <c r="N48" s="27"/>
    </row>
    <row r="49" spans="1:14" s="133" customFormat="1" x14ac:dyDescent="0.3">
      <c r="A49" s="5"/>
      <c r="B49" s="254" t="s">
        <v>106</v>
      </c>
      <c r="C49" s="12"/>
      <c r="D49" s="5"/>
      <c r="E49" s="5"/>
      <c r="F49" s="5"/>
      <c r="G49" s="5"/>
      <c r="H49" s="27"/>
      <c r="I49" s="30">
        <f>I47-I48</f>
        <v>23048</v>
      </c>
      <c r="J49" s="30">
        <f t="shared" ref="J49:M49" si="4">J47-J48</f>
        <v>23120</v>
      </c>
      <c r="K49" s="30">
        <f t="shared" si="4"/>
        <v>17679</v>
      </c>
      <c r="L49" s="30">
        <f t="shared" si="4"/>
        <v>15962</v>
      </c>
      <c r="M49" s="30">
        <f t="shared" si="4"/>
        <v>14511</v>
      </c>
      <c r="N49" s="27"/>
    </row>
    <row r="50" spans="1:14" s="133" customFormat="1" x14ac:dyDescent="0.3">
      <c r="A50" s="5"/>
      <c r="B50" s="253" t="s">
        <v>107</v>
      </c>
      <c r="C50" s="144"/>
      <c r="D50" s="17"/>
      <c r="E50" s="17"/>
      <c r="F50" s="17"/>
      <c r="G50" s="17"/>
      <c r="H50" s="145"/>
      <c r="I50" s="18">
        <f>I47+I46</f>
        <v>23182</v>
      </c>
      <c r="J50" s="18">
        <f t="shared" ref="J50:M50" si="5">J47+J46</f>
        <v>17679</v>
      </c>
      <c r="K50" s="18">
        <f t="shared" si="5"/>
        <v>15972</v>
      </c>
      <c r="L50" s="18">
        <f t="shared" si="5"/>
        <v>14516</v>
      </c>
      <c r="M50" s="18">
        <f t="shared" si="5"/>
        <v>12276</v>
      </c>
      <c r="N50" s="145"/>
    </row>
    <row r="51" spans="1:14" s="133" customFormat="1" x14ac:dyDescent="0.3">
      <c r="A51" s="5"/>
      <c r="B51" s="23" t="s">
        <v>108</v>
      </c>
      <c r="C51" s="12"/>
      <c r="D51" s="5"/>
      <c r="E51" s="5"/>
      <c r="F51" s="5"/>
      <c r="G51" s="5"/>
      <c r="H51" s="27"/>
      <c r="I51" s="15">
        <v>62</v>
      </c>
      <c r="J51" s="15">
        <v>0</v>
      </c>
      <c r="K51" s="15">
        <v>10</v>
      </c>
      <c r="L51" s="15">
        <v>5</v>
      </c>
      <c r="M51" s="15">
        <v>22</v>
      </c>
      <c r="N51" s="27"/>
    </row>
    <row r="52" spans="1:14" s="133" customFormat="1" ht="17.25" thickBot="1" x14ac:dyDescent="0.35">
      <c r="A52" s="5"/>
      <c r="B52" s="255" t="s">
        <v>109</v>
      </c>
      <c r="C52" s="256"/>
      <c r="D52" s="109"/>
      <c r="E52" s="109"/>
      <c r="F52" s="109"/>
      <c r="G52" s="109"/>
      <c r="H52" s="257"/>
      <c r="I52" s="33">
        <f>I50-I51</f>
        <v>23120</v>
      </c>
      <c r="J52" s="33">
        <f t="shared" ref="J52:M52" si="6">J50-J51</f>
        <v>17679</v>
      </c>
      <c r="K52" s="33">
        <f t="shared" si="6"/>
        <v>15962</v>
      </c>
      <c r="L52" s="33">
        <f t="shared" si="6"/>
        <v>14511</v>
      </c>
      <c r="M52" s="33">
        <f t="shared" si="6"/>
        <v>12254</v>
      </c>
      <c r="N52" s="257"/>
    </row>
    <row r="53" spans="1:14" s="133" customFormat="1" x14ac:dyDescent="0.3">
      <c r="A53" s="5"/>
      <c r="B53" s="5"/>
      <c r="C53" s="12"/>
      <c r="D53" s="5"/>
      <c r="E53" s="5"/>
      <c r="F53" s="5"/>
      <c r="G53" s="5"/>
      <c r="H53" s="27"/>
      <c r="I53" s="27"/>
      <c r="J53" s="113"/>
      <c r="K53" s="27"/>
      <c r="L53" s="27"/>
      <c r="M53" s="27"/>
      <c r="N53" s="27"/>
    </row>
    <row r="54" spans="1:14" s="133" customFormat="1" x14ac:dyDescent="0.3">
      <c r="A54" s="5"/>
      <c r="C54" s="6" t="s">
        <v>111</v>
      </c>
      <c r="D54" s="6"/>
      <c r="E54" s="6"/>
      <c r="F54" s="6"/>
      <c r="G54" s="6"/>
      <c r="H54" s="28"/>
      <c r="I54" s="29">
        <f>ROUNDUP(I52-'Statement of Financial Position'!I23,0)</f>
        <v>0</v>
      </c>
      <c r="J54" s="29">
        <f>ROUNDUP(J52-'Statement of Financial Position'!J23,0)</f>
        <v>0</v>
      </c>
      <c r="K54" s="29">
        <f>ROUNDUP(K52-'Statement of Financial Position'!K23,0)</f>
        <v>0</v>
      </c>
      <c r="L54" s="29">
        <f>ROUNDUP(L52-'Statement of Financial Position'!L23,0)</f>
        <v>0</v>
      </c>
      <c r="M54" s="29">
        <f>ROUNDUP(M52-'Statement of Financial Position'!M23,0)</f>
        <v>0</v>
      </c>
      <c r="N54" s="27"/>
    </row>
    <row r="55" spans="1:14" x14ac:dyDescent="0.3">
      <c r="A55" s="13"/>
      <c r="B55" s="5"/>
      <c r="N55" s="5"/>
    </row>
    <row r="56" spans="1:14" x14ac:dyDescent="0.3">
      <c r="A56" s="194" t="s">
        <v>29</v>
      </c>
      <c r="B56" s="172"/>
      <c r="C56" s="172"/>
      <c r="D56" s="172"/>
      <c r="E56" s="172"/>
      <c r="F56" s="172"/>
      <c r="G56" s="172"/>
      <c r="H56" s="172"/>
      <c r="I56" s="172"/>
      <c r="J56" s="172"/>
      <c r="K56" s="172"/>
      <c r="L56" s="172"/>
      <c r="M56" s="172"/>
      <c r="N56" s="172"/>
    </row>
    <row r="57" spans="1:14" x14ac:dyDescent="0.3">
      <c r="B57" s="133"/>
    </row>
    <row r="58" spans="1:14" x14ac:dyDescent="0.3">
      <c r="B58" s="133"/>
    </row>
  </sheetData>
  <conditionalFormatting sqref="I54:M54">
    <cfRule type="expression" dxfId="1" priority="1">
      <formula>$I$54&lt;&gt;0</formula>
    </cfRule>
    <cfRule type="expression" dxfId="0" priority="2">
      <formula>$I$68&lt;&gt;0</formula>
    </cfRule>
  </conditionalFormatting>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6418-8A1C-4647-9A6A-576189048611}">
  <sheetPr>
    <outlinePr showOutlineSymbols="0"/>
    <pageSetUpPr autoPageBreaks="0"/>
  </sheetPr>
  <dimension ref="A1:X217"/>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5" width="9.140625" style="194"/>
    <col min="16" max="16" width="4.7109375" style="221" customWidth="1"/>
    <col min="17" max="17" width="36.28515625" style="194" bestFit="1" customWidth="1"/>
    <col min="18" max="18" width="9.42578125" style="194" bestFit="1" customWidth="1"/>
    <col min="19" max="21" width="10.7109375" style="194" bestFit="1" customWidth="1"/>
    <col min="22" max="22" width="9.42578125" style="194" bestFit="1" customWidth="1"/>
    <col min="23" max="23" width="8.7109375" style="194" bestFit="1" customWidth="1"/>
    <col min="24" max="16384" width="9.140625" style="194"/>
  </cols>
  <sheetData>
    <row r="1" spans="1:23" ht="6" customHeight="1" x14ac:dyDescent="0.3"/>
    <row r="2" spans="1:23" ht="39.950000000000003" customHeight="1" x14ac:dyDescent="0.3">
      <c r="B2" s="195"/>
      <c r="C2" s="195"/>
      <c r="D2" s="241" t="s">
        <v>28</v>
      </c>
      <c r="E2" s="195"/>
      <c r="F2" s="195"/>
      <c r="G2" s="195"/>
      <c r="H2" s="195"/>
      <c r="I2" s="196"/>
      <c r="J2" s="195"/>
      <c r="K2" s="195"/>
      <c r="L2" s="195"/>
      <c r="M2" s="195"/>
      <c r="N2" s="195"/>
    </row>
    <row r="4" spans="1:23" x14ac:dyDescent="0.3">
      <c r="A4" s="194" t="s">
        <v>29</v>
      </c>
      <c r="B4" s="197" t="s">
        <v>262</v>
      </c>
      <c r="C4" s="198"/>
      <c r="D4" s="198"/>
      <c r="E4" s="198"/>
      <c r="F4" s="198"/>
      <c r="G4" s="198"/>
      <c r="H4" s="198"/>
      <c r="I4" s="198"/>
      <c r="J4" s="198"/>
      <c r="K4" s="198"/>
      <c r="L4" s="198"/>
      <c r="M4" s="198"/>
      <c r="N4" s="198"/>
    </row>
    <row r="6" spans="1:23" ht="17.25" thickBot="1" x14ac:dyDescent="0.35">
      <c r="B6" s="240" t="s">
        <v>20</v>
      </c>
      <c r="H6" s="199"/>
      <c r="I6" s="200">
        <v>2021</v>
      </c>
      <c r="J6" s="238">
        <f>I6+1</f>
        <v>2022</v>
      </c>
      <c r="K6" s="238">
        <f t="shared" ref="K6:M6" si="0">J6+1</f>
        <v>2023</v>
      </c>
      <c r="L6" s="238">
        <f t="shared" si="0"/>
        <v>2024</v>
      </c>
      <c r="M6" s="238">
        <f t="shared" si="0"/>
        <v>2025</v>
      </c>
    </row>
    <row r="7" spans="1:23" x14ac:dyDescent="0.3">
      <c r="A7" s="13"/>
      <c r="B7" s="11"/>
      <c r="C7" s="12"/>
      <c r="D7" s="13"/>
      <c r="E7" s="13"/>
      <c r="F7" s="13"/>
      <c r="G7" s="13"/>
      <c r="H7" s="13"/>
      <c r="I7" s="13"/>
      <c r="J7" s="13"/>
      <c r="K7" s="13"/>
      <c r="L7" s="13"/>
      <c r="M7" s="13"/>
      <c r="N7" s="13"/>
      <c r="S7" s="201"/>
      <c r="T7" s="201"/>
      <c r="U7" s="201"/>
      <c r="V7" s="201"/>
      <c r="W7" s="201"/>
    </row>
    <row r="8" spans="1:23" x14ac:dyDescent="0.3">
      <c r="A8" s="13"/>
      <c r="B8" s="25" t="s">
        <v>8</v>
      </c>
      <c r="C8" s="12"/>
      <c r="D8" s="13"/>
      <c r="E8" s="13"/>
      <c r="F8" s="13"/>
      <c r="G8" s="13"/>
      <c r="H8" s="102"/>
      <c r="I8" s="102"/>
      <c r="J8" s="102"/>
      <c r="K8" s="102"/>
      <c r="L8" s="102"/>
      <c r="M8" s="102"/>
      <c r="N8" s="102"/>
    </row>
    <row r="9" spans="1:23" x14ac:dyDescent="0.3">
      <c r="A9" s="13"/>
      <c r="B9" s="5"/>
      <c r="C9" s="12" t="s">
        <v>1</v>
      </c>
      <c r="D9" s="13"/>
      <c r="E9" s="13"/>
      <c r="F9" s="5"/>
      <c r="G9" s="5"/>
      <c r="H9" s="27"/>
      <c r="I9" s="15">
        <v>96712</v>
      </c>
      <c r="J9" s="15">
        <v>111601</v>
      </c>
      <c r="K9" s="15">
        <v>112756</v>
      </c>
      <c r="L9" s="15">
        <v>107761</v>
      </c>
      <c r="M9" s="15">
        <v>96407</v>
      </c>
      <c r="N9" s="102"/>
      <c r="S9" s="202"/>
      <c r="T9" s="202"/>
      <c r="U9" s="202"/>
      <c r="V9" s="202"/>
      <c r="W9" s="202"/>
    </row>
    <row r="10" spans="1:23" x14ac:dyDescent="0.3">
      <c r="A10" s="13"/>
      <c r="B10" s="5"/>
      <c r="C10" s="12" t="s">
        <v>3</v>
      </c>
      <c r="D10" s="13"/>
      <c r="E10" s="13"/>
      <c r="F10" s="5"/>
      <c r="G10" s="5"/>
      <c r="H10" s="27"/>
      <c r="I10" s="15">
        <v>12689</v>
      </c>
      <c r="J10" s="15">
        <v>16245</v>
      </c>
      <c r="K10" s="15">
        <v>14252</v>
      </c>
      <c r="L10" s="15">
        <v>8677</v>
      </c>
      <c r="M10" s="15">
        <v>4773</v>
      </c>
      <c r="N10" s="102"/>
      <c r="O10" s="203"/>
      <c r="S10" s="202"/>
      <c r="T10" s="202"/>
      <c r="U10" s="202"/>
      <c r="V10" s="202"/>
      <c r="W10" s="202"/>
    </row>
    <row r="11" spans="1:23" s="133" customFormat="1" x14ac:dyDescent="0.3">
      <c r="A11" s="5"/>
      <c r="B11" s="5"/>
      <c r="C11" s="12" t="s">
        <v>128</v>
      </c>
      <c r="D11" s="5"/>
      <c r="E11" s="5"/>
      <c r="F11" s="5"/>
      <c r="G11" s="5"/>
      <c r="H11" s="27"/>
      <c r="I11" s="116">
        <v>0.13100000000000001</v>
      </c>
      <c r="J11" s="116">
        <v>0.14599999999999999</v>
      </c>
      <c r="K11" s="116">
        <v>0.126</v>
      </c>
      <c r="L11" s="116">
        <v>8.1000000000000003E-2</v>
      </c>
      <c r="M11" s="116">
        <v>0.05</v>
      </c>
      <c r="N11" s="27"/>
      <c r="P11" s="222"/>
    </row>
    <row r="12" spans="1:23" s="133" customFormat="1" x14ac:dyDescent="0.3">
      <c r="A12" s="5"/>
      <c r="B12" s="5"/>
      <c r="C12" s="12" t="s">
        <v>121</v>
      </c>
      <c r="D12" s="5"/>
      <c r="E12" s="5"/>
      <c r="F12" s="285" t="s">
        <v>27</v>
      </c>
      <c r="G12" s="5"/>
      <c r="H12" s="275"/>
      <c r="I12" s="204">
        <v>1.94</v>
      </c>
      <c r="J12" s="204">
        <v>2.04</v>
      </c>
      <c r="K12" s="204">
        <v>2.04</v>
      </c>
      <c r="L12" s="204">
        <v>1.98</v>
      </c>
      <c r="M12" s="204">
        <v>1.8</v>
      </c>
      <c r="N12" s="27"/>
      <c r="P12" s="222"/>
    </row>
    <row r="13" spans="1:23" x14ac:dyDescent="0.3">
      <c r="A13" s="13"/>
      <c r="B13" s="5"/>
      <c r="C13" s="12" t="s">
        <v>0</v>
      </c>
      <c r="D13" s="13"/>
      <c r="E13" s="13"/>
      <c r="F13" s="286"/>
      <c r="G13" s="5"/>
      <c r="H13" s="27"/>
      <c r="I13" s="116">
        <v>0.16</v>
      </c>
      <c r="J13" s="116">
        <v>0.16</v>
      </c>
      <c r="K13" s="116">
        <v>0.16</v>
      </c>
      <c r="L13" s="116">
        <v>0.14000000000000001</v>
      </c>
      <c r="M13" s="116">
        <v>0.15</v>
      </c>
      <c r="N13" s="102"/>
    </row>
    <row r="14" spans="1:23" s="133" customFormat="1" x14ac:dyDescent="0.3">
      <c r="A14" s="5"/>
      <c r="B14" s="23"/>
      <c r="C14" s="12"/>
      <c r="D14" s="5"/>
      <c r="E14" s="5"/>
      <c r="F14" s="286"/>
      <c r="G14" s="5"/>
      <c r="H14" s="27"/>
      <c r="I14" s="15"/>
      <c r="J14" s="15"/>
      <c r="K14" s="15"/>
      <c r="L14" s="15"/>
      <c r="M14" s="15"/>
      <c r="N14" s="27"/>
      <c r="P14" s="222"/>
    </row>
    <row r="15" spans="1:23" x14ac:dyDescent="0.3">
      <c r="A15" s="13"/>
      <c r="B15" s="25" t="s">
        <v>9</v>
      </c>
      <c r="C15" s="12"/>
      <c r="D15" s="13"/>
      <c r="E15" s="13"/>
      <c r="F15" s="286"/>
      <c r="G15" s="5"/>
      <c r="H15" s="27"/>
      <c r="I15" s="15"/>
      <c r="J15" s="15"/>
      <c r="K15" s="15"/>
      <c r="L15" s="15"/>
      <c r="M15" s="15"/>
      <c r="N15" s="102"/>
    </row>
    <row r="16" spans="1:23" x14ac:dyDescent="0.3">
      <c r="A16" s="13"/>
      <c r="B16" s="23"/>
      <c r="C16" s="12" t="s">
        <v>1</v>
      </c>
      <c r="D16" s="13"/>
      <c r="E16" s="13"/>
      <c r="F16" s="286"/>
      <c r="G16" s="5"/>
      <c r="H16" s="27"/>
      <c r="I16" s="15">
        <v>14735</v>
      </c>
      <c r="J16" s="15">
        <v>17217</v>
      </c>
      <c r="K16" s="15">
        <v>20288</v>
      </c>
      <c r="L16" s="15">
        <v>19320</v>
      </c>
      <c r="M16" s="15">
        <v>17148</v>
      </c>
      <c r="N16" s="102"/>
    </row>
    <row r="17" spans="1:16" x14ac:dyDescent="0.3">
      <c r="A17" s="13"/>
      <c r="B17" s="23"/>
      <c r="C17" s="12" t="s">
        <v>3</v>
      </c>
      <c r="D17" s="13"/>
      <c r="E17" s="13"/>
      <c r="F17" s="286"/>
      <c r="G17" s="5"/>
      <c r="H17" s="27"/>
      <c r="I17" s="15">
        <v>1229</v>
      </c>
      <c r="J17" s="15">
        <v>1927</v>
      </c>
      <c r="K17" s="15">
        <v>3063</v>
      </c>
      <c r="L17" s="15">
        <v>2825</v>
      </c>
      <c r="M17" s="15">
        <v>1755</v>
      </c>
      <c r="N17" s="102"/>
    </row>
    <row r="18" spans="1:16" x14ac:dyDescent="0.3">
      <c r="A18" s="13"/>
      <c r="B18" s="23"/>
      <c r="C18" s="12" t="s">
        <v>128</v>
      </c>
      <c r="D18" s="5"/>
      <c r="E18" s="5"/>
      <c r="F18" s="286"/>
      <c r="G18" s="5"/>
      <c r="H18" s="27"/>
      <c r="I18" s="116">
        <v>8.3000000000000004E-2</v>
      </c>
      <c r="J18" s="116">
        <v>0.112</v>
      </c>
      <c r="K18" s="116">
        <v>0.151</v>
      </c>
      <c r="L18" s="116">
        <v>0.14599999999999999</v>
      </c>
      <c r="M18" s="116">
        <v>0.10199999999999999</v>
      </c>
      <c r="N18" s="102"/>
    </row>
    <row r="19" spans="1:16" x14ac:dyDescent="0.3">
      <c r="A19" s="13"/>
      <c r="B19" s="5"/>
      <c r="C19" s="12" t="s">
        <v>121</v>
      </c>
      <c r="D19" s="5"/>
      <c r="E19" s="5"/>
      <c r="F19" s="285" t="s">
        <v>122</v>
      </c>
      <c r="G19" s="13"/>
      <c r="H19" s="102"/>
      <c r="I19" s="103">
        <v>386.2</v>
      </c>
      <c r="J19" s="103">
        <v>415.3</v>
      </c>
      <c r="K19" s="103">
        <v>447.8</v>
      </c>
      <c r="L19" s="103">
        <v>405.61</v>
      </c>
      <c r="M19" s="103">
        <v>359.13600000000002</v>
      </c>
      <c r="N19" s="102"/>
    </row>
    <row r="20" spans="1:16" s="133" customFormat="1" x14ac:dyDescent="0.3">
      <c r="A20" s="5"/>
      <c r="B20" s="5"/>
      <c r="C20" s="12" t="s">
        <v>123</v>
      </c>
      <c r="D20" s="13"/>
      <c r="E20" s="13"/>
      <c r="F20" s="5"/>
      <c r="G20" s="5"/>
      <c r="H20" s="27"/>
      <c r="I20" s="116">
        <v>3.4000000000000002E-2</v>
      </c>
      <c r="J20" s="116">
        <v>3.5999999999999997E-2</v>
      </c>
      <c r="K20" s="116">
        <v>5.0999999999999997E-2</v>
      </c>
      <c r="L20" s="116">
        <v>4.8000000000000001E-2</v>
      </c>
      <c r="M20" s="116">
        <v>7.9000000000000001E-2</v>
      </c>
      <c r="N20" s="27"/>
      <c r="P20" s="222"/>
    </row>
    <row r="21" spans="1:16" s="133" customFormat="1" x14ac:dyDescent="0.3">
      <c r="A21" s="5"/>
      <c r="B21" s="5"/>
      <c r="C21" s="92"/>
      <c r="D21" s="5"/>
      <c r="E21" s="5"/>
      <c r="F21" s="5"/>
      <c r="G21" s="5"/>
      <c r="H21" s="27"/>
      <c r="I21" s="30"/>
      <c r="J21" s="30"/>
      <c r="K21" s="30"/>
      <c r="L21" s="30"/>
      <c r="M21" s="30"/>
      <c r="N21" s="27"/>
      <c r="P21" s="222"/>
    </row>
    <row r="22" spans="1:16" s="133" customFormat="1" x14ac:dyDescent="0.3">
      <c r="A22" s="5"/>
      <c r="B22" s="25" t="s">
        <v>10</v>
      </c>
      <c r="C22" s="12"/>
      <c r="D22" s="5"/>
      <c r="E22" s="5"/>
      <c r="F22" s="5"/>
      <c r="G22" s="5"/>
      <c r="H22" s="27"/>
      <c r="I22" s="30"/>
      <c r="J22" s="30"/>
      <c r="K22" s="30"/>
      <c r="L22" s="30"/>
      <c r="M22" s="30"/>
      <c r="N22" s="27"/>
      <c r="P22" s="222"/>
    </row>
    <row r="23" spans="1:16" s="133" customFormat="1" x14ac:dyDescent="0.3">
      <c r="A23" s="5"/>
      <c r="C23" s="92" t="s">
        <v>124</v>
      </c>
      <c r="D23" s="5"/>
      <c r="E23" s="5"/>
      <c r="F23" s="5"/>
      <c r="G23" s="5"/>
      <c r="H23" s="27"/>
      <c r="I23" s="32">
        <f>'Mobility Analysis'!I10</f>
        <v>133687</v>
      </c>
      <c r="J23" s="32">
        <f>'Mobility Analysis'!J10</f>
        <v>132379</v>
      </c>
      <c r="K23" s="32">
        <f>'Mobility Analysis'!K10</f>
        <v>135027</v>
      </c>
      <c r="L23" s="32">
        <f>'Mobility Analysis'!L10</f>
        <v>138095</v>
      </c>
      <c r="M23" s="32">
        <f>'Mobility Analysis'!M10</f>
        <v>128751</v>
      </c>
      <c r="N23" s="27"/>
      <c r="P23" s="222"/>
    </row>
    <row r="24" spans="1:16" s="133" customFormat="1" x14ac:dyDescent="0.3">
      <c r="A24" s="5"/>
      <c r="B24" s="23"/>
      <c r="C24" s="12" t="s">
        <v>3</v>
      </c>
      <c r="D24" s="5"/>
      <c r="E24" s="5"/>
      <c r="F24" s="5"/>
      <c r="G24" s="5"/>
      <c r="H24" s="27"/>
      <c r="I24" s="32">
        <f>'Mobility Analysis'!I12</f>
        <v>3449</v>
      </c>
      <c r="J24" s="32">
        <f>'Mobility Analysis'!J12</f>
        <v>2428</v>
      </c>
      <c r="K24" s="32">
        <f>'Mobility Analysis'!K12</f>
        <v>1695</v>
      </c>
      <c r="L24" s="32">
        <f>'Mobility Analysis'!L12</f>
        <v>1134</v>
      </c>
      <c r="M24" s="32">
        <f>'Mobility Analysis'!M12</f>
        <v>1267</v>
      </c>
      <c r="N24" s="27"/>
      <c r="P24" s="222"/>
    </row>
    <row r="25" spans="1:16" s="133" customFormat="1" x14ac:dyDescent="0.3">
      <c r="A25" s="5"/>
      <c r="B25" s="23"/>
      <c r="C25" s="12" t="s">
        <v>129</v>
      </c>
      <c r="D25" s="5"/>
      <c r="E25" s="5"/>
      <c r="F25" s="5"/>
      <c r="G25" s="5"/>
      <c r="H25" s="27"/>
      <c r="I25" s="89">
        <f>'Mobility Analysis'!I13</f>
        <v>0.22</v>
      </c>
      <c r="J25" s="89">
        <f>'Mobility Analysis'!J13</f>
        <v>0.16800000000000001</v>
      </c>
      <c r="K25" s="89">
        <f>'Mobility Analysis'!K13</f>
        <v>0.123</v>
      </c>
      <c r="L25" s="89">
        <f>'Mobility Analysis'!L13</f>
        <v>8.6999999999999994E-2</v>
      </c>
      <c r="M25" s="89">
        <f>'Mobility Analysis'!M13</f>
        <v>9.7000000000000003E-2</v>
      </c>
      <c r="N25" s="27"/>
      <c r="P25" s="222"/>
    </row>
    <row r="26" spans="1:16" s="133" customFormat="1" x14ac:dyDescent="0.3">
      <c r="A26" s="5"/>
      <c r="B26" s="5"/>
      <c r="C26" s="12"/>
      <c r="D26" s="5"/>
      <c r="E26" s="5"/>
      <c r="F26" s="5"/>
      <c r="G26" s="5"/>
      <c r="H26" s="27"/>
      <c r="I26" s="15"/>
      <c r="J26" s="15"/>
      <c r="K26" s="15"/>
      <c r="L26" s="15"/>
      <c r="M26" s="15"/>
      <c r="N26" s="27"/>
      <c r="P26" s="222"/>
    </row>
    <row r="27" spans="1:16" s="133" customFormat="1" x14ac:dyDescent="0.3">
      <c r="A27" s="5"/>
      <c r="B27" s="25" t="s">
        <v>177</v>
      </c>
      <c r="C27" s="12"/>
      <c r="D27" s="5"/>
      <c r="E27" s="5"/>
      <c r="F27" s="5"/>
      <c r="G27" s="5"/>
      <c r="H27" s="27"/>
      <c r="I27" s="15"/>
      <c r="J27" s="15"/>
      <c r="K27" s="15"/>
      <c r="L27" s="15"/>
      <c r="M27" s="15"/>
      <c r="N27" s="27"/>
      <c r="P27" s="222"/>
    </row>
    <row r="28" spans="1:16" s="133" customFormat="1" x14ac:dyDescent="0.3">
      <c r="A28" s="5"/>
      <c r="B28" s="5"/>
      <c r="C28" s="5" t="s">
        <v>178</v>
      </c>
      <c r="D28" s="5"/>
      <c r="E28" s="5"/>
      <c r="F28" s="5"/>
      <c r="G28" s="5"/>
      <c r="H28" s="27"/>
      <c r="I28" s="15">
        <v>17158</v>
      </c>
      <c r="J28" s="15">
        <v>20655</v>
      </c>
      <c r="K28" s="15">
        <v>20004</v>
      </c>
      <c r="L28" s="15">
        <v>13713</v>
      </c>
      <c r="M28" s="15">
        <v>8235</v>
      </c>
      <c r="N28" s="27"/>
      <c r="P28" s="222"/>
    </row>
    <row r="29" spans="1:16" s="133" customFormat="1" x14ac:dyDescent="0.3">
      <c r="A29" s="5"/>
      <c r="B29" s="21"/>
      <c r="C29" s="5" t="s">
        <v>171</v>
      </c>
      <c r="D29" s="5"/>
      <c r="E29" s="5"/>
      <c r="F29" s="5"/>
      <c r="G29" s="5"/>
      <c r="H29" s="27"/>
      <c r="I29" s="32">
        <f>I10+I17+I24</f>
        <v>17367</v>
      </c>
      <c r="J29" s="32">
        <f>J10+J17+J24</f>
        <v>20600</v>
      </c>
      <c r="K29" s="32">
        <f>K10+K17+K24</f>
        <v>19010</v>
      </c>
      <c r="L29" s="32">
        <f>L10+L17+L24</f>
        <v>12636</v>
      </c>
      <c r="M29" s="32">
        <f>M10+M17+M24</f>
        <v>7795</v>
      </c>
      <c r="N29" s="27"/>
      <c r="P29" s="222"/>
    </row>
    <row r="30" spans="1:16" s="133" customFormat="1" x14ac:dyDescent="0.3">
      <c r="A30" s="5"/>
      <c r="N30" s="27"/>
      <c r="P30" s="222"/>
    </row>
    <row r="31" spans="1:16" s="133" customFormat="1" x14ac:dyDescent="0.3">
      <c r="A31" s="5"/>
      <c r="C31" s="92" t="s">
        <v>125</v>
      </c>
      <c r="D31" s="5"/>
      <c r="E31" s="5"/>
      <c r="F31" s="5"/>
      <c r="G31" s="5"/>
      <c r="I31" s="89">
        <f>I10/I28</f>
        <v>0.73953840773982982</v>
      </c>
      <c r="J31" s="89">
        <f>J10/J28</f>
        <v>0.78649237472766886</v>
      </c>
      <c r="K31" s="89">
        <f>K10/K28</f>
        <v>0.71245750849830036</v>
      </c>
      <c r="L31" s="89">
        <f>L10/L28</f>
        <v>0.63275723765769709</v>
      </c>
      <c r="M31" s="89">
        <f>M10/M28</f>
        <v>0.57959927140255008</v>
      </c>
      <c r="N31" s="27"/>
      <c r="P31" s="222"/>
    </row>
    <row r="32" spans="1:16" s="133" customFormat="1" x14ac:dyDescent="0.3">
      <c r="A32" s="5"/>
      <c r="B32" s="23"/>
      <c r="C32" s="92" t="s">
        <v>126</v>
      </c>
      <c r="D32" s="5"/>
      <c r="E32" s="5"/>
      <c r="F32" s="5"/>
      <c r="G32" s="5"/>
      <c r="H32" s="27"/>
      <c r="I32" s="89">
        <f>I17/I28</f>
        <v>7.1628394917822594E-2</v>
      </c>
      <c r="J32" s="89">
        <f>J17/J28</f>
        <v>9.3294601791333823E-2</v>
      </c>
      <c r="K32" s="89">
        <f>K17/K28</f>
        <v>0.15311937612477505</v>
      </c>
      <c r="L32" s="89">
        <f>L17/L28</f>
        <v>0.20600889666739591</v>
      </c>
      <c r="M32" s="89">
        <f>M17/M28</f>
        <v>0.21311475409836064</v>
      </c>
      <c r="N32" s="27"/>
      <c r="P32" s="222"/>
    </row>
    <row r="33" spans="1:22" s="133" customFormat="1" x14ac:dyDescent="0.3">
      <c r="A33" s="5"/>
      <c r="B33" s="23"/>
      <c r="C33" s="92" t="s">
        <v>127</v>
      </c>
      <c r="D33" s="5"/>
      <c r="E33" s="5"/>
      <c r="F33" s="5"/>
      <c r="G33" s="5"/>
      <c r="H33" s="27"/>
      <c r="I33" s="89">
        <f>I24/I28</f>
        <v>0.20101410420794966</v>
      </c>
      <c r="J33" s="89">
        <f>J24/J28</f>
        <v>0.11755022996853062</v>
      </c>
      <c r="K33" s="89">
        <f>K24/K28</f>
        <v>8.4733053389322133E-2</v>
      </c>
      <c r="L33" s="89">
        <f>L24/L28</f>
        <v>8.2695252679938741E-2</v>
      </c>
      <c r="M33" s="89">
        <f>M24/M28</f>
        <v>0.15385549483910141</v>
      </c>
      <c r="N33" s="27"/>
      <c r="P33" s="222"/>
    </row>
    <row r="34" spans="1:22" s="133" customFormat="1" x14ac:dyDescent="0.3">
      <c r="A34" s="5"/>
      <c r="B34" s="23"/>
      <c r="C34" s="92" t="s">
        <v>212</v>
      </c>
      <c r="D34" s="5"/>
      <c r="E34" s="5"/>
      <c r="F34" s="5"/>
      <c r="G34" s="5"/>
      <c r="H34" s="27"/>
      <c r="I34" s="89">
        <f>1-(I29/I28)</f>
        <v>-1.2180906865602026E-2</v>
      </c>
      <c r="J34" s="89">
        <f t="shared" ref="J34:M34" si="1">1-(J29/J28)</f>
        <v>2.6627935124666768E-3</v>
      </c>
      <c r="K34" s="89">
        <f t="shared" si="1"/>
        <v>4.9690061987602507E-2</v>
      </c>
      <c r="L34" s="89">
        <f t="shared" si="1"/>
        <v>7.8538612994968227E-2</v>
      </c>
      <c r="M34" s="89">
        <f t="shared" si="1"/>
        <v>5.3430479659987817E-2</v>
      </c>
      <c r="N34" s="27"/>
      <c r="P34" s="222"/>
    </row>
    <row r="35" spans="1:22" s="133" customFormat="1" x14ac:dyDescent="0.3">
      <c r="A35" s="5"/>
      <c r="B35" s="5"/>
      <c r="C35" s="92"/>
      <c r="D35" s="5"/>
      <c r="E35" s="5"/>
      <c r="F35" s="5"/>
      <c r="G35" s="5"/>
      <c r="H35" s="27"/>
      <c r="I35" s="205">
        <f>ROUND(SUM(I31:I34),0)</f>
        <v>1</v>
      </c>
      <c r="J35" s="205">
        <f t="shared" ref="J35:M35" si="2">ROUND(SUM(J31:J34),0)</f>
        <v>1</v>
      </c>
      <c r="K35" s="205">
        <f t="shared" si="2"/>
        <v>1</v>
      </c>
      <c r="L35" s="205">
        <f t="shared" si="2"/>
        <v>1</v>
      </c>
      <c r="M35" s="205">
        <f t="shared" si="2"/>
        <v>1</v>
      </c>
      <c r="N35" s="27"/>
      <c r="P35" s="222"/>
    </row>
    <row r="36" spans="1:22" x14ac:dyDescent="0.3">
      <c r="A36" s="13"/>
      <c r="B36" s="5"/>
      <c r="C36" s="13"/>
      <c r="D36" s="13"/>
      <c r="E36" s="13"/>
      <c r="F36" s="13"/>
      <c r="G36" s="13"/>
      <c r="H36" s="13"/>
      <c r="I36" s="13"/>
      <c r="J36" s="13"/>
      <c r="K36" s="13"/>
      <c r="L36" s="13"/>
      <c r="M36" s="13"/>
      <c r="N36" s="5"/>
    </row>
    <row r="37" spans="1:22" x14ac:dyDescent="0.3">
      <c r="A37" s="5"/>
      <c r="B37" s="17"/>
      <c r="C37" s="17"/>
      <c r="D37" s="17"/>
      <c r="E37" s="17"/>
      <c r="F37" s="17"/>
      <c r="G37" s="17"/>
      <c r="H37" s="17"/>
      <c r="I37" s="17"/>
      <c r="J37" s="17"/>
      <c r="K37" s="17"/>
      <c r="L37" s="17"/>
      <c r="M37" s="17"/>
      <c r="N37" s="17"/>
    </row>
    <row r="38" spans="1:22" s="133" customFormat="1" x14ac:dyDescent="0.3">
      <c r="A38" s="5" t="s">
        <v>29</v>
      </c>
      <c r="B38" s="106" t="s">
        <v>269</v>
      </c>
      <c r="C38" s="107"/>
      <c r="D38" s="107"/>
      <c r="E38" s="107"/>
      <c r="F38" s="107"/>
      <c r="G38" s="107"/>
      <c r="H38" s="107"/>
      <c r="I38" s="107"/>
      <c r="J38" s="107"/>
      <c r="K38" s="107"/>
      <c r="L38" s="107"/>
      <c r="M38" s="107"/>
      <c r="N38" s="107"/>
      <c r="P38" s="222"/>
    </row>
    <row r="39" spans="1:22" s="133" customFormat="1" x14ac:dyDescent="0.3">
      <c r="A39" s="5"/>
      <c r="B39" s="5"/>
      <c r="C39" s="5"/>
      <c r="D39" s="5"/>
      <c r="E39" s="5"/>
      <c r="F39" s="5"/>
      <c r="G39" s="5"/>
      <c r="H39" s="5"/>
      <c r="I39" s="5"/>
      <c r="J39" s="5"/>
      <c r="K39" s="5"/>
      <c r="L39" s="5"/>
      <c r="M39" s="5"/>
      <c r="N39" s="5"/>
      <c r="P39" s="222"/>
    </row>
    <row r="40" spans="1:22" s="133" customFormat="1" x14ac:dyDescent="0.3">
      <c r="A40" s="5"/>
      <c r="B40" s="194"/>
      <c r="N40" s="194"/>
      <c r="P40" s="222"/>
    </row>
    <row r="41" spans="1:22" s="133" customFormat="1" x14ac:dyDescent="0.3">
      <c r="A41" s="5"/>
      <c r="B41" s="194"/>
      <c r="N41" s="194"/>
      <c r="P41" s="222"/>
    </row>
    <row r="42" spans="1:22" s="133" customFormat="1" x14ac:dyDescent="0.3">
      <c r="A42" s="5"/>
      <c r="B42" s="194"/>
      <c r="N42" s="194"/>
      <c r="P42" s="222"/>
    </row>
    <row r="43" spans="1:22" s="133" customFormat="1" x14ac:dyDescent="0.3">
      <c r="A43" s="5"/>
      <c r="B43" s="194"/>
      <c r="N43" s="194"/>
      <c r="P43" s="222"/>
      <c r="Q43" s="211" t="s">
        <v>263</v>
      </c>
      <c r="R43" s="212">
        <f>I6</f>
        <v>2021</v>
      </c>
      <c r="S43" s="212">
        <f t="shared" ref="S43:V43" si="3">J6</f>
        <v>2022</v>
      </c>
      <c r="T43" s="212">
        <f t="shared" si="3"/>
        <v>2023</v>
      </c>
      <c r="U43" s="212">
        <f t="shared" si="3"/>
        <v>2024</v>
      </c>
      <c r="V43" s="212">
        <f t="shared" si="3"/>
        <v>2025</v>
      </c>
    </row>
    <row r="44" spans="1:22" s="133" customFormat="1" x14ac:dyDescent="0.3">
      <c r="A44" s="5"/>
      <c r="B44" s="5"/>
      <c r="C44" s="5"/>
      <c r="D44" s="5"/>
      <c r="E44" s="5"/>
      <c r="F44" s="5"/>
      <c r="G44" s="5"/>
      <c r="H44" s="5"/>
      <c r="I44" s="5"/>
      <c r="J44" s="5"/>
      <c r="K44" s="5"/>
      <c r="L44" s="5"/>
      <c r="M44" s="5"/>
      <c r="N44" s="5"/>
      <c r="P44" s="222"/>
      <c r="Q44" s="209" t="s">
        <v>148</v>
      </c>
      <c r="R44" s="32">
        <f>'Statement of Income'!I9</f>
        <v>133893</v>
      </c>
      <c r="S44" s="32">
        <f>'Statement of Income'!J9</f>
        <v>150017</v>
      </c>
      <c r="T44" s="32">
        <f>'Statement of Income'!K9</f>
        <v>152390</v>
      </c>
      <c r="U44" s="32">
        <f>'Statement of Income'!L9</f>
        <v>145594</v>
      </c>
      <c r="V44" s="32">
        <f>'Statement of Income'!M9</f>
        <v>132214</v>
      </c>
    </row>
    <row r="45" spans="1:22" s="133" customFormat="1" x14ac:dyDescent="0.3">
      <c r="A45" s="5"/>
      <c r="B45" s="5"/>
      <c r="C45" s="5"/>
      <c r="D45" s="5"/>
      <c r="E45" s="5"/>
      <c r="F45" s="5"/>
      <c r="G45" s="5"/>
      <c r="H45" s="5"/>
      <c r="I45" s="5"/>
      <c r="J45" s="5"/>
      <c r="K45" s="5"/>
      <c r="L45" s="5"/>
      <c r="M45" s="5"/>
      <c r="N45" s="5"/>
      <c r="P45" s="222"/>
      <c r="Q45" s="209" t="s">
        <v>264</v>
      </c>
      <c r="R45" s="32">
        <f>I28</f>
        <v>17158</v>
      </c>
      <c r="S45" s="32">
        <f t="shared" ref="S45:V45" si="4">J28</f>
        <v>20655</v>
      </c>
      <c r="T45" s="32">
        <f t="shared" si="4"/>
        <v>20004</v>
      </c>
      <c r="U45" s="32">
        <f t="shared" si="4"/>
        <v>13713</v>
      </c>
      <c r="V45" s="32">
        <f t="shared" si="4"/>
        <v>8235</v>
      </c>
    </row>
    <row r="46" spans="1:22" s="133" customFormat="1" x14ac:dyDescent="0.3">
      <c r="A46" s="13"/>
      <c r="B46" s="13"/>
      <c r="C46" s="5"/>
      <c r="D46" s="5"/>
      <c r="E46" s="5"/>
      <c r="F46" s="5"/>
      <c r="G46" s="5"/>
      <c r="H46" s="5"/>
      <c r="I46" s="5"/>
      <c r="J46" s="5"/>
      <c r="K46" s="5"/>
      <c r="L46" s="5"/>
      <c r="M46" s="5"/>
      <c r="N46" s="13"/>
      <c r="P46" s="222"/>
    </row>
    <row r="47" spans="1:22" s="133" customFormat="1" x14ac:dyDescent="0.3">
      <c r="A47" s="13"/>
      <c r="B47" s="13"/>
      <c r="C47" s="5"/>
      <c r="D47" s="5"/>
      <c r="E47" s="5"/>
      <c r="F47" s="5"/>
      <c r="G47" s="5"/>
      <c r="H47" s="5"/>
      <c r="I47" s="5"/>
      <c r="J47" s="5"/>
      <c r="K47" s="5"/>
      <c r="L47" s="5"/>
      <c r="M47" s="5"/>
      <c r="N47" s="13"/>
      <c r="P47" s="222"/>
      <c r="Q47" s="211" t="s">
        <v>263</v>
      </c>
      <c r="R47" s="212">
        <f>R43</f>
        <v>2021</v>
      </c>
      <c r="S47" s="212">
        <f t="shared" ref="S47:V47" si="5">S43</f>
        <v>2022</v>
      </c>
      <c r="T47" s="212">
        <f t="shared" si="5"/>
        <v>2023</v>
      </c>
      <c r="U47" s="212">
        <f t="shared" si="5"/>
        <v>2024</v>
      </c>
      <c r="V47" s="212">
        <f t="shared" si="5"/>
        <v>2025</v>
      </c>
    </row>
    <row r="48" spans="1:22" s="133" customFormat="1" x14ac:dyDescent="0.3">
      <c r="A48" s="13"/>
      <c r="B48" s="13"/>
      <c r="C48" s="5"/>
      <c r="D48" s="5"/>
      <c r="E48" s="5"/>
      <c r="F48" s="5"/>
      <c r="G48" s="5"/>
      <c r="H48" s="5"/>
      <c r="I48" s="5"/>
      <c r="J48" s="5"/>
      <c r="K48" s="5"/>
      <c r="L48" s="5"/>
      <c r="M48" s="5"/>
      <c r="N48" s="13"/>
      <c r="P48" s="222"/>
      <c r="Q48" s="209" t="s">
        <v>265</v>
      </c>
      <c r="R48" s="210">
        <f>R44/$R$44*100</f>
        <v>100</v>
      </c>
      <c r="S48" s="210">
        <f t="shared" ref="S48:V48" si="6">S44/$R$44*100</f>
        <v>112.04245180853367</v>
      </c>
      <c r="T48" s="210">
        <f t="shared" si="6"/>
        <v>113.81476253426244</v>
      </c>
      <c r="U48" s="210">
        <f t="shared" si="6"/>
        <v>108.73906776306454</v>
      </c>
      <c r="V48" s="210">
        <f t="shared" si="6"/>
        <v>98.746013607880926</v>
      </c>
    </row>
    <row r="49" spans="1:22" s="133" customFormat="1" x14ac:dyDescent="0.3">
      <c r="A49" s="5"/>
      <c r="B49" s="5"/>
      <c r="C49" s="5"/>
      <c r="D49" s="5"/>
      <c r="E49" s="5"/>
      <c r="F49" s="5"/>
      <c r="G49" s="5"/>
      <c r="H49" s="5"/>
      <c r="I49" s="5"/>
      <c r="J49" s="5"/>
      <c r="K49" s="5"/>
      <c r="L49" s="5"/>
      <c r="M49" s="5"/>
      <c r="N49" s="5"/>
      <c r="P49" s="222"/>
      <c r="Q49" s="209" t="s">
        <v>266</v>
      </c>
      <c r="R49" s="210">
        <f>R45/$R$45*100</f>
        <v>100</v>
      </c>
      <c r="S49" s="210">
        <f t="shared" ref="S49:V49" si="7">S45/$R$45*100</f>
        <v>120.3811633057466</v>
      </c>
      <c r="T49" s="210">
        <f t="shared" si="7"/>
        <v>116.58701480359017</v>
      </c>
      <c r="U49" s="210">
        <f t="shared" si="7"/>
        <v>79.921902319617672</v>
      </c>
      <c r="V49" s="210">
        <f t="shared" si="7"/>
        <v>47.995104324513349</v>
      </c>
    </row>
    <row r="50" spans="1:22" s="133" customFormat="1" x14ac:dyDescent="0.3">
      <c r="A50" s="5"/>
      <c r="B50" s="5"/>
      <c r="C50" s="5"/>
      <c r="D50" s="5"/>
      <c r="E50" s="5"/>
      <c r="F50" s="5"/>
      <c r="G50" s="5"/>
      <c r="H50" s="5"/>
      <c r="I50" s="5"/>
      <c r="J50" s="5"/>
      <c r="K50" s="5"/>
      <c r="L50" s="5"/>
      <c r="M50" s="5"/>
      <c r="N50" s="5"/>
      <c r="P50" s="222"/>
    </row>
    <row r="51" spans="1:22" s="133" customFormat="1" x14ac:dyDescent="0.3">
      <c r="A51" s="5"/>
      <c r="B51" s="5"/>
      <c r="C51" s="5"/>
      <c r="D51" s="5"/>
      <c r="E51" s="5"/>
      <c r="F51" s="5"/>
      <c r="G51" s="5"/>
      <c r="H51" s="5"/>
      <c r="I51" s="5"/>
      <c r="J51" s="5"/>
      <c r="K51" s="5"/>
      <c r="L51" s="5"/>
      <c r="M51" s="5"/>
      <c r="N51" s="5"/>
      <c r="P51" s="222"/>
    </row>
    <row r="52" spans="1:22" s="133" customFormat="1" x14ac:dyDescent="0.3">
      <c r="A52" s="5"/>
      <c r="B52" s="5"/>
      <c r="C52" s="5"/>
      <c r="D52" s="5"/>
      <c r="E52" s="5"/>
      <c r="F52" s="5"/>
      <c r="G52" s="5"/>
      <c r="H52" s="5"/>
      <c r="I52" s="5"/>
      <c r="J52" s="5"/>
      <c r="K52" s="5"/>
      <c r="L52" s="5"/>
      <c r="M52" s="5"/>
      <c r="N52" s="5"/>
      <c r="P52" s="222"/>
    </row>
    <row r="53" spans="1:22" s="133" customFormat="1" x14ac:dyDescent="0.3">
      <c r="A53" s="5"/>
      <c r="B53" s="5"/>
      <c r="C53" s="5"/>
      <c r="D53" s="5"/>
      <c r="E53" s="5"/>
      <c r="F53" s="5"/>
      <c r="G53" s="5"/>
      <c r="H53" s="5"/>
      <c r="I53" s="5"/>
      <c r="J53" s="5"/>
      <c r="K53" s="5"/>
      <c r="L53" s="5"/>
      <c r="M53" s="5"/>
      <c r="N53" s="5"/>
      <c r="P53" s="222"/>
    </row>
    <row r="54" spans="1:22" s="133" customFormat="1" x14ac:dyDescent="0.3">
      <c r="A54" s="5"/>
      <c r="B54" s="5"/>
      <c r="C54" s="5"/>
      <c r="D54" s="5"/>
      <c r="E54" s="5"/>
      <c r="F54" s="5"/>
      <c r="G54" s="5"/>
      <c r="H54" s="5"/>
      <c r="I54" s="5"/>
      <c r="J54" s="5"/>
      <c r="K54" s="5"/>
      <c r="L54" s="5"/>
      <c r="M54" s="5"/>
      <c r="N54" s="5"/>
      <c r="P54" s="222"/>
    </row>
    <row r="55" spans="1:22" s="133" customFormat="1" x14ac:dyDescent="0.3">
      <c r="A55" s="5"/>
      <c r="B55" s="5"/>
      <c r="C55" s="5"/>
      <c r="D55" s="5"/>
      <c r="E55" s="5"/>
      <c r="F55" s="5"/>
      <c r="G55" s="5"/>
      <c r="H55" s="5"/>
      <c r="I55" s="5"/>
      <c r="J55" s="5"/>
      <c r="K55" s="5"/>
      <c r="L55" s="5"/>
      <c r="M55" s="5"/>
      <c r="N55" s="5"/>
      <c r="P55" s="222"/>
    </row>
    <row r="56" spans="1:22" s="133" customFormat="1" x14ac:dyDescent="0.3">
      <c r="A56" s="5"/>
      <c r="B56" s="5"/>
      <c r="C56" s="5"/>
      <c r="D56" s="5"/>
      <c r="E56" s="5"/>
      <c r="F56" s="5"/>
      <c r="G56" s="5"/>
      <c r="H56" s="5"/>
      <c r="I56" s="5"/>
      <c r="J56" s="5"/>
      <c r="K56" s="5"/>
      <c r="L56" s="5"/>
      <c r="M56" s="5"/>
      <c r="N56" s="5"/>
      <c r="P56" s="222"/>
    </row>
    <row r="57" spans="1:22" s="133" customFormat="1" x14ac:dyDescent="0.3">
      <c r="A57" s="5"/>
      <c r="B57" s="5"/>
      <c r="C57" s="5"/>
      <c r="D57" s="5"/>
      <c r="E57" s="5"/>
      <c r="F57" s="5"/>
      <c r="G57" s="5"/>
      <c r="H57" s="5"/>
      <c r="I57" s="5"/>
      <c r="J57" s="5"/>
      <c r="K57" s="5"/>
      <c r="L57" s="5"/>
      <c r="M57" s="5"/>
      <c r="N57" s="5"/>
      <c r="P57" s="222"/>
    </row>
    <row r="58" spans="1:22" s="133" customFormat="1" x14ac:dyDescent="0.3">
      <c r="A58" s="5"/>
      <c r="B58" s="5"/>
      <c r="C58" s="5"/>
      <c r="D58" s="5"/>
      <c r="E58" s="5"/>
      <c r="F58" s="5"/>
      <c r="G58" s="5"/>
      <c r="H58" s="5"/>
      <c r="I58" s="5"/>
      <c r="J58" s="5"/>
      <c r="K58" s="5"/>
      <c r="L58" s="5"/>
      <c r="M58" s="5"/>
      <c r="N58" s="5"/>
      <c r="P58" s="222"/>
    </row>
    <row r="59" spans="1:22" s="133" customFormat="1" x14ac:dyDescent="0.3">
      <c r="A59" s="5"/>
      <c r="B59" s="5"/>
      <c r="C59" s="5"/>
      <c r="D59" s="5"/>
      <c r="E59" s="5"/>
      <c r="F59" s="5"/>
      <c r="G59" s="5"/>
      <c r="H59" s="5"/>
      <c r="I59" s="5"/>
      <c r="J59" s="5"/>
      <c r="K59" s="5"/>
      <c r="L59" s="5"/>
      <c r="M59" s="5"/>
      <c r="N59" s="5"/>
      <c r="P59" s="222"/>
    </row>
    <row r="60" spans="1:22" s="133" customFormat="1" x14ac:dyDescent="0.3">
      <c r="A60" s="5"/>
      <c r="B60" s="5"/>
      <c r="C60" s="5"/>
      <c r="D60" s="5"/>
      <c r="E60" s="5"/>
      <c r="F60" s="5"/>
      <c r="G60" s="5"/>
      <c r="H60" s="5"/>
      <c r="I60" s="5"/>
      <c r="J60" s="5"/>
      <c r="K60" s="5"/>
      <c r="L60" s="5"/>
      <c r="M60" s="5"/>
      <c r="N60" s="5"/>
      <c r="P60" s="222"/>
    </row>
    <row r="61" spans="1:22" s="133" customFormat="1" x14ac:dyDescent="0.3">
      <c r="A61" s="5"/>
      <c r="B61" s="5"/>
      <c r="C61" s="5"/>
      <c r="D61" s="5"/>
      <c r="E61" s="5"/>
      <c r="F61" s="5"/>
      <c r="G61" s="5"/>
      <c r="H61" s="5"/>
      <c r="I61" s="5"/>
      <c r="J61" s="5"/>
      <c r="K61" s="5"/>
      <c r="L61" s="5"/>
      <c r="M61" s="5"/>
      <c r="N61" s="5"/>
      <c r="P61" s="222"/>
    </row>
    <row r="62" spans="1:22" s="133" customFormat="1" x14ac:dyDescent="0.3">
      <c r="A62" s="5"/>
      <c r="B62" s="5"/>
      <c r="C62" s="5"/>
      <c r="D62" s="5"/>
      <c r="E62" s="5"/>
      <c r="F62" s="5"/>
      <c r="G62" s="5"/>
      <c r="H62" s="5"/>
      <c r="I62" s="5"/>
      <c r="J62" s="5"/>
      <c r="K62" s="5"/>
      <c r="L62" s="5"/>
      <c r="M62" s="5"/>
      <c r="N62" s="5"/>
      <c r="P62" s="222"/>
    </row>
    <row r="63" spans="1:22" s="133" customFormat="1" x14ac:dyDescent="0.3">
      <c r="A63" s="5"/>
      <c r="B63" s="5"/>
      <c r="C63" s="5"/>
      <c r="D63" s="5"/>
      <c r="E63" s="5"/>
      <c r="F63" s="5"/>
      <c r="G63" s="5"/>
      <c r="H63" s="5"/>
      <c r="I63" s="5"/>
      <c r="J63" s="5"/>
      <c r="K63" s="5"/>
      <c r="L63" s="5"/>
      <c r="M63" s="5"/>
      <c r="N63" s="5"/>
      <c r="P63" s="222"/>
    </row>
    <row r="64" spans="1:22" s="133" customFormat="1" x14ac:dyDescent="0.3">
      <c r="A64" s="5"/>
      <c r="B64" s="5"/>
      <c r="C64" s="5"/>
      <c r="D64" s="5"/>
      <c r="E64" s="5"/>
      <c r="F64" s="5"/>
      <c r="G64" s="5"/>
      <c r="H64" s="5"/>
      <c r="I64" s="5"/>
      <c r="J64" s="5"/>
      <c r="K64" s="5"/>
      <c r="L64" s="5"/>
      <c r="M64" s="5"/>
      <c r="N64" s="5"/>
      <c r="P64" s="222"/>
    </row>
    <row r="65" spans="1:22" s="133" customFormat="1" x14ac:dyDescent="0.3">
      <c r="A65" s="5"/>
      <c r="B65" s="5"/>
      <c r="C65" s="5"/>
      <c r="D65" s="5"/>
      <c r="E65" s="5"/>
      <c r="F65" s="5"/>
      <c r="G65" s="5"/>
      <c r="H65" s="5"/>
      <c r="I65" s="5"/>
      <c r="J65" s="5"/>
      <c r="K65" s="5"/>
      <c r="L65" s="5"/>
      <c r="M65" s="5"/>
      <c r="N65" s="5"/>
      <c r="P65" s="222"/>
    </row>
    <row r="66" spans="1:22" s="133" customFormat="1" x14ac:dyDescent="0.3">
      <c r="A66" s="5"/>
      <c r="B66" s="119"/>
      <c r="C66" s="119"/>
      <c r="D66" s="119"/>
      <c r="E66" s="119"/>
      <c r="F66" s="119"/>
      <c r="G66" s="119"/>
      <c r="H66" s="119"/>
      <c r="I66" s="119"/>
      <c r="J66" s="119"/>
      <c r="K66" s="119"/>
      <c r="L66" s="119"/>
      <c r="M66" s="119"/>
      <c r="N66" s="119"/>
      <c r="P66" s="222"/>
    </row>
    <row r="67" spans="1:22" s="133" customFormat="1" x14ac:dyDescent="0.3">
      <c r="A67" s="5"/>
      <c r="B67" s="5"/>
      <c r="C67" s="5"/>
      <c r="D67" s="5"/>
      <c r="E67" s="5"/>
      <c r="F67" s="5"/>
      <c r="G67" s="5"/>
      <c r="H67" s="5"/>
      <c r="I67" s="5"/>
      <c r="J67" s="5"/>
      <c r="K67" s="5"/>
      <c r="L67" s="5"/>
      <c r="M67" s="5"/>
      <c r="N67" s="5"/>
      <c r="P67" s="222"/>
    </row>
    <row r="68" spans="1:22" s="133" customFormat="1" x14ac:dyDescent="0.3">
      <c r="A68" s="5" t="s">
        <v>29</v>
      </c>
      <c r="B68" s="106" t="s">
        <v>270</v>
      </c>
      <c r="C68" s="107"/>
      <c r="D68" s="107"/>
      <c r="E68" s="107"/>
      <c r="F68" s="107"/>
      <c r="G68" s="107"/>
      <c r="H68" s="107"/>
      <c r="I68" s="107"/>
      <c r="J68" s="107"/>
      <c r="K68" s="107"/>
      <c r="L68" s="107"/>
      <c r="M68" s="107"/>
      <c r="N68" s="107"/>
      <c r="P68" s="222"/>
    </row>
    <row r="69" spans="1:22" s="133" customFormat="1" x14ac:dyDescent="0.3">
      <c r="A69" s="5"/>
      <c r="B69" s="5"/>
      <c r="C69" s="5"/>
      <c r="D69" s="5"/>
      <c r="E69" s="5"/>
      <c r="F69" s="5"/>
      <c r="G69" s="5"/>
      <c r="H69" s="5"/>
      <c r="I69" s="5"/>
      <c r="J69" s="5"/>
      <c r="K69" s="5"/>
      <c r="L69" s="5"/>
      <c r="M69" s="5"/>
      <c r="N69" s="5"/>
      <c r="P69" s="222"/>
    </row>
    <row r="70" spans="1:22" s="133" customFormat="1" x14ac:dyDescent="0.3">
      <c r="A70" s="5"/>
      <c r="B70" s="194"/>
      <c r="N70" s="194"/>
      <c r="P70" s="222"/>
    </row>
    <row r="71" spans="1:22" s="133" customFormat="1" x14ac:dyDescent="0.3">
      <c r="A71" s="5"/>
      <c r="B71" s="194"/>
      <c r="N71" s="194"/>
      <c r="P71" s="222"/>
    </row>
    <row r="72" spans="1:22" s="133" customFormat="1" x14ac:dyDescent="0.3">
      <c r="A72" s="5"/>
      <c r="B72" s="194"/>
      <c r="N72" s="194"/>
      <c r="P72" s="222"/>
    </row>
    <row r="73" spans="1:22" s="133" customFormat="1" x14ac:dyDescent="0.3">
      <c r="A73" s="5"/>
      <c r="B73" s="194"/>
      <c r="N73" s="194"/>
      <c r="P73" s="222"/>
      <c r="Q73" s="211" t="s">
        <v>263</v>
      </c>
      <c r="R73" s="212">
        <f>$R$47</f>
        <v>2021</v>
      </c>
      <c r="S73" s="212">
        <f t="shared" ref="S73:V73" si="8">$R$47</f>
        <v>2021</v>
      </c>
      <c r="T73" s="212">
        <f t="shared" si="8"/>
        <v>2021</v>
      </c>
      <c r="U73" s="212">
        <f t="shared" si="8"/>
        <v>2021</v>
      </c>
      <c r="V73" s="212">
        <f t="shared" si="8"/>
        <v>2021</v>
      </c>
    </row>
    <row r="74" spans="1:22" s="133" customFormat="1" x14ac:dyDescent="0.3">
      <c r="A74" s="5"/>
      <c r="B74" s="5"/>
      <c r="C74" s="5"/>
      <c r="D74" s="5"/>
      <c r="E74" s="5"/>
      <c r="F74" s="5"/>
      <c r="G74" s="5"/>
      <c r="H74" s="5"/>
      <c r="I74" s="5"/>
      <c r="J74" s="5"/>
      <c r="K74" s="5"/>
      <c r="L74" s="5"/>
      <c r="M74" s="5"/>
      <c r="N74" s="5"/>
      <c r="P74" s="222"/>
      <c r="Q74" s="209" t="s">
        <v>195</v>
      </c>
      <c r="R74" s="201">
        <f>I12</f>
        <v>1.94</v>
      </c>
      <c r="S74" s="201">
        <f>J12</f>
        <v>2.04</v>
      </c>
      <c r="T74" s="201">
        <f>K12</f>
        <v>2.04</v>
      </c>
      <c r="U74" s="201">
        <f>L12</f>
        <v>1.98</v>
      </c>
      <c r="V74" s="201">
        <f>M12</f>
        <v>1.8</v>
      </c>
    </row>
    <row r="75" spans="1:22" s="133" customFormat="1" x14ac:dyDescent="0.3">
      <c r="A75" s="5"/>
      <c r="B75" s="5"/>
      <c r="C75" s="5"/>
      <c r="D75" s="5"/>
      <c r="E75" s="5"/>
      <c r="F75" s="5"/>
      <c r="G75" s="5"/>
      <c r="H75" s="5"/>
      <c r="I75" s="5"/>
      <c r="J75" s="5"/>
      <c r="K75" s="5"/>
      <c r="L75" s="5"/>
      <c r="M75" s="5"/>
      <c r="N75" s="5"/>
      <c r="P75" s="222"/>
      <c r="Q75" s="209" t="s">
        <v>196</v>
      </c>
      <c r="R75" s="201">
        <f>I19/1000</f>
        <v>0.38619999999999999</v>
      </c>
      <c r="S75" s="201">
        <f>J19/1000</f>
        <v>0.4153</v>
      </c>
      <c r="T75" s="201">
        <f>K19/1000</f>
        <v>0.44780000000000003</v>
      </c>
      <c r="U75" s="201">
        <f>L19/1000</f>
        <v>0.40561000000000003</v>
      </c>
      <c r="V75" s="201">
        <f>M19/1000</f>
        <v>0.35913600000000001</v>
      </c>
    </row>
    <row r="76" spans="1:22" s="133" customFormat="1" x14ac:dyDescent="0.3">
      <c r="A76" s="13"/>
      <c r="B76" s="13"/>
      <c r="C76" s="5"/>
      <c r="D76" s="5"/>
      <c r="E76" s="5"/>
      <c r="F76" s="5"/>
      <c r="G76" s="5"/>
      <c r="H76" s="5"/>
      <c r="I76" s="5"/>
      <c r="J76" s="5"/>
      <c r="K76" s="5"/>
      <c r="L76" s="5"/>
      <c r="M76" s="5"/>
      <c r="N76" s="13"/>
      <c r="P76" s="222"/>
    </row>
    <row r="77" spans="1:22" s="133" customFormat="1" x14ac:dyDescent="0.3">
      <c r="A77" s="13"/>
      <c r="B77" s="13"/>
      <c r="C77" s="5"/>
      <c r="D77" s="5"/>
      <c r="E77" s="5"/>
      <c r="F77" s="5"/>
      <c r="G77" s="5"/>
      <c r="H77" s="5"/>
      <c r="I77" s="5"/>
      <c r="J77" s="5"/>
      <c r="K77" s="5"/>
      <c r="L77" s="5"/>
      <c r="M77" s="5"/>
      <c r="N77" s="13"/>
      <c r="P77" s="222"/>
      <c r="Q77" s="133" t="s">
        <v>268</v>
      </c>
    </row>
    <row r="78" spans="1:22" s="133" customFormat="1" x14ac:dyDescent="0.3">
      <c r="A78" s="13"/>
      <c r="B78" s="13"/>
      <c r="C78" s="5"/>
      <c r="D78" s="5"/>
      <c r="E78" s="5"/>
      <c r="F78" s="5"/>
      <c r="G78" s="5"/>
      <c r="H78" s="5"/>
      <c r="I78" s="5"/>
      <c r="J78" s="5"/>
      <c r="K78" s="5"/>
      <c r="L78" s="5"/>
      <c r="M78" s="5"/>
      <c r="N78" s="13"/>
      <c r="P78" s="222"/>
    </row>
    <row r="79" spans="1:22" s="133" customFormat="1" x14ac:dyDescent="0.3">
      <c r="A79" s="5"/>
      <c r="B79" s="5"/>
      <c r="C79" s="5"/>
      <c r="D79" s="5"/>
      <c r="E79" s="5"/>
      <c r="F79" s="5"/>
      <c r="G79" s="5"/>
      <c r="H79" s="5"/>
      <c r="I79" s="5"/>
      <c r="J79" s="5"/>
      <c r="K79" s="5"/>
      <c r="L79" s="5"/>
      <c r="M79" s="5"/>
      <c r="N79" s="5"/>
      <c r="P79" s="222"/>
    </row>
    <row r="80" spans="1:22" s="133" customFormat="1" x14ac:dyDescent="0.3">
      <c r="A80" s="5"/>
      <c r="B80" s="5"/>
      <c r="C80" s="5"/>
      <c r="D80" s="5"/>
      <c r="E80" s="5"/>
      <c r="F80" s="5"/>
      <c r="G80" s="5"/>
      <c r="H80" s="5"/>
      <c r="I80" s="5"/>
      <c r="J80" s="5"/>
      <c r="K80" s="5"/>
      <c r="L80" s="5"/>
      <c r="M80" s="5"/>
      <c r="N80" s="5"/>
      <c r="P80" s="222"/>
    </row>
    <row r="81" spans="1:16" s="133" customFormat="1" x14ac:dyDescent="0.3">
      <c r="A81" s="5"/>
      <c r="B81" s="5"/>
      <c r="C81" s="5"/>
      <c r="D81" s="5"/>
      <c r="E81" s="5"/>
      <c r="F81" s="5"/>
      <c r="G81" s="5"/>
      <c r="H81" s="5"/>
      <c r="I81" s="5"/>
      <c r="J81" s="5"/>
      <c r="K81" s="5"/>
      <c r="L81" s="5"/>
      <c r="M81" s="5"/>
      <c r="N81" s="5"/>
      <c r="P81" s="222"/>
    </row>
    <row r="82" spans="1:16" s="133" customFormat="1" x14ac:dyDescent="0.3">
      <c r="A82" s="5"/>
      <c r="B82" s="5"/>
      <c r="C82" s="5"/>
      <c r="D82" s="5"/>
      <c r="E82" s="5"/>
      <c r="F82" s="5"/>
      <c r="G82" s="5"/>
      <c r="H82" s="5"/>
      <c r="I82" s="5"/>
      <c r="J82" s="5"/>
      <c r="K82" s="5"/>
      <c r="L82" s="5"/>
      <c r="M82" s="5"/>
      <c r="N82" s="5"/>
      <c r="P82" s="222"/>
    </row>
    <row r="83" spans="1:16" s="133" customFormat="1" x14ac:dyDescent="0.3">
      <c r="A83" s="5"/>
      <c r="B83" s="5"/>
      <c r="C83" s="5"/>
      <c r="D83" s="5"/>
      <c r="E83" s="5"/>
      <c r="F83" s="5"/>
      <c r="G83" s="5"/>
      <c r="H83" s="5"/>
      <c r="I83" s="5"/>
      <c r="J83" s="5"/>
      <c r="K83" s="5"/>
      <c r="L83" s="5"/>
      <c r="M83" s="5"/>
      <c r="N83" s="5"/>
      <c r="P83" s="222"/>
    </row>
    <row r="84" spans="1:16" s="133" customFormat="1" x14ac:dyDescent="0.3">
      <c r="A84" s="5"/>
      <c r="B84" s="5"/>
      <c r="C84" s="5"/>
      <c r="D84" s="5"/>
      <c r="E84" s="5"/>
      <c r="F84" s="5"/>
      <c r="G84" s="5"/>
      <c r="H84" s="5"/>
      <c r="I84" s="5"/>
      <c r="J84" s="5"/>
      <c r="K84" s="5"/>
      <c r="L84" s="5"/>
      <c r="M84" s="5"/>
      <c r="N84" s="5"/>
      <c r="P84" s="222"/>
    </row>
    <row r="85" spans="1:16" s="133" customFormat="1" x14ac:dyDescent="0.3">
      <c r="A85" s="5"/>
      <c r="B85" s="5"/>
      <c r="C85" s="5"/>
      <c r="D85" s="5"/>
      <c r="E85" s="5"/>
      <c r="F85" s="5"/>
      <c r="G85" s="5"/>
      <c r="H85" s="5"/>
      <c r="I85" s="5"/>
      <c r="J85" s="5"/>
      <c r="K85" s="5"/>
      <c r="L85" s="5"/>
      <c r="M85" s="5"/>
      <c r="N85" s="5"/>
      <c r="P85" s="222"/>
    </row>
    <row r="86" spans="1:16" s="133" customFormat="1" x14ac:dyDescent="0.3">
      <c r="A86" s="5"/>
      <c r="B86" s="5"/>
      <c r="C86" s="5"/>
      <c r="D86" s="5"/>
      <c r="E86" s="5"/>
      <c r="F86" s="5"/>
      <c r="G86" s="5"/>
      <c r="H86" s="5"/>
      <c r="I86" s="5"/>
      <c r="J86" s="5"/>
      <c r="K86" s="5"/>
      <c r="L86" s="5"/>
      <c r="M86" s="5"/>
      <c r="N86" s="5"/>
      <c r="P86" s="222"/>
    </row>
    <row r="87" spans="1:16" s="133" customFormat="1" x14ac:dyDescent="0.3">
      <c r="A87" s="5"/>
      <c r="B87" s="5"/>
      <c r="C87" s="5"/>
      <c r="D87" s="5"/>
      <c r="E87" s="5"/>
      <c r="F87" s="5"/>
      <c r="G87" s="5"/>
      <c r="H87" s="5"/>
      <c r="I87" s="5"/>
      <c r="J87" s="5"/>
      <c r="K87" s="5"/>
      <c r="L87" s="5"/>
      <c r="M87" s="5"/>
      <c r="N87" s="5"/>
      <c r="P87" s="222"/>
    </row>
    <row r="88" spans="1:16" s="133" customFormat="1" x14ac:dyDescent="0.3">
      <c r="A88" s="5"/>
      <c r="B88" s="5"/>
      <c r="C88" s="5"/>
      <c r="D88" s="5"/>
      <c r="E88" s="5"/>
      <c r="F88" s="5"/>
      <c r="G88" s="5"/>
      <c r="H88" s="5"/>
      <c r="I88" s="5"/>
      <c r="J88" s="5"/>
      <c r="K88" s="5"/>
      <c r="L88" s="5"/>
      <c r="M88" s="5"/>
      <c r="N88" s="5"/>
      <c r="P88" s="222"/>
    </row>
    <row r="89" spans="1:16" s="133" customFormat="1" x14ac:dyDescent="0.3">
      <c r="A89" s="5"/>
      <c r="B89" s="5"/>
      <c r="C89" s="5"/>
      <c r="D89" s="5"/>
      <c r="E89" s="5"/>
      <c r="F89" s="5"/>
      <c r="G89" s="5"/>
      <c r="H89" s="5"/>
      <c r="I89" s="5"/>
      <c r="J89" s="5"/>
      <c r="K89" s="5"/>
      <c r="L89" s="5"/>
      <c r="M89" s="5"/>
      <c r="N89" s="5"/>
      <c r="P89" s="222"/>
    </row>
    <row r="90" spans="1:16" s="133" customFormat="1" x14ac:dyDescent="0.3">
      <c r="A90" s="5"/>
      <c r="B90" s="5"/>
      <c r="C90" s="5"/>
      <c r="D90" s="5"/>
      <c r="E90" s="5"/>
      <c r="F90" s="5"/>
      <c r="G90" s="5"/>
      <c r="H90" s="5"/>
      <c r="I90" s="5"/>
      <c r="J90" s="5"/>
      <c r="K90" s="5"/>
      <c r="L90" s="5"/>
      <c r="M90" s="5"/>
      <c r="N90" s="5"/>
      <c r="P90" s="222"/>
    </row>
    <row r="91" spans="1:16" s="133" customFormat="1" x14ac:dyDescent="0.3">
      <c r="A91" s="5"/>
      <c r="B91" s="5"/>
      <c r="C91" s="5"/>
      <c r="D91" s="5"/>
      <c r="E91" s="5"/>
      <c r="F91" s="5"/>
      <c r="G91" s="5"/>
      <c r="H91" s="5"/>
      <c r="I91" s="5"/>
      <c r="J91" s="5"/>
      <c r="K91" s="5"/>
      <c r="L91" s="5"/>
      <c r="M91" s="5"/>
      <c r="N91" s="5"/>
      <c r="P91" s="222"/>
    </row>
    <row r="92" spans="1:16" s="133" customFormat="1" x14ac:dyDescent="0.3">
      <c r="A92" s="5"/>
      <c r="B92" s="5"/>
      <c r="C92" s="5"/>
      <c r="D92" s="5"/>
      <c r="E92" s="5"/>
      <c r="F92" s="5"/>
      <c r="G92" s="5"/>
      <c r="H92" s="5"/>
      <c r="I92" s="5"/>
      <c r="J92" s="5"/>
      <c r="K92" s="5"/>
      <c r="L92" s="5"/>
      <c r="M92" s="5"/>
      <c r="N92" s="5"/>
      <c r="P92" s="222"/>
    </row>
    <row r="93" spans="1:16" s="133" customFormat="1" x14ac:dyDescent="0.3">
      <c r="A93" s="5"/>
      <c r="B93" s="5"/>
      <c r="C93" s="5"/>
      <c r="D93" s="5"/>
      <c r="E93" s="5"/>
      <c r="F93" s="5"/>
      <c r="G93" s="5"/>
      <c r="H93" s="5"/>
      <c r="I93" s="5"/>
      <c r="J93" s="5"/>
      <c r="K93" s="5"/>
      <c r="L93" s="5"/>
      <c r="M93" s="5"/>
      <c r="N93" s="5"/>
      <c r="P93" s="222"/>
    </row>
    <row r="94" spans="1:16" s="133" customFormat="1" x14ac:dyDescent="0.3">
      <c r="A94" s="5"/>
      <c r="B94" s="5"/>
      <c r="C94" s="5"/>
      <c r="D94" s="5"/>
      <c r="E94" s="5"/>
      <c r="F94" s="5"/>
      <c r="G94" s="5"/>
      <c r="H94" s="5"/>
      <c r="I94" s="5"/>
      <c r="J94" s="5"/>
      <c r="K94" s="5"/>
      <c r="L94" s="5"/>
      <c r="M94" s="5"/>
      <c r="N94" s="5"/>
      <c r="P94" s="222"/>
    </row>
    <row r="95" spans="1:16" s="133" customFormat="1" x14ac:dyDescent="0.3">
      <c r="A95" s="5"/>
      <c r="B95" s="5"/>
      <c r="C95" s="5"/>
      <c r="D95" s="5"/>
      <c r="E95" s="5"/>
      <c r="F95" s="5"/>
      <c r="G95" s="5"/>
      <c r="H95" s="5"/>
      <c r="I95" s="5"/>
      <c r="J95" s="5"/>
      <c r="K95" s="5"/>
      <c r="L95" s="5"/>
      <c r="M95" s="5"/>
      <c r="N95" s="5"/>
      <c r="P95" s="222"/>
    </row>
    <row r="96" spans="1:16" s="133" customFormat="1" x14ac:dyDescent="0.3">
      <c r="A96" s="5"/>
      <c r="B96" s="119"/>
      <c r="C96" s="119"/>
      <c r="D96" s="119"/>
      <c r="E96" s="119"/>
      <c r="F96" s="119"/>
      <c r="G96" s="119"/>
      <c r="H96" s="119"/>
      <c r="I96" s="119"/>
      <c r="J96" s="119"/>
      <c r="K96" s="119"/>
      <c r="L96" s="119"/>
      <c r="M96" s="119"/>
      <c r="N96" s="119"/>
      <c r="P96" s="222"/>
    </row>
    <row r="97" spans="1:16" s="133" customFormat="1" x14ac:dyDescent="0.3">
      <c r="A97" s="5"/>
      <c r="B97" s="5"/>
      <c r="C97" s="5"/>
      <c r="D97" s="5"/>
      <c r="E97" s="5"/>
      <c r="F97" s="5"/>
      <c r="G97" s="5"/>
      <c r="H97" s="5"/>
      <c r="I97" s="5"/>
      <c r="J97" s="5"/>
      <c r="K97" s="5"/>
      <c r="L97" s="5"/>
      <c r="M97" s="5"/>
      <c r="N97" s="5"/>
      <c r="P97" s="222"/>
    </row>
    <row r="98" spans="1:16" ht="16.5" customHeight="1" x14ac:dyDescent="0.3">
      <c r="A98" s="13" t="s">
        <v>29</v>
      </c>
      <c r="B98" s="106" t="s">
        <v>271</v>
      </c>
      <c r="C98" s="107"/>
      <c r="D98" s="107"/>
      <c r="E98" s="107"/>
      <c r="F98" s="107"/>
      <c r="G98" s="107"/>
      <c r="H98" s="107"/>
      <c r="I98" s="107"/>
      <c r="J98" s="107"/>
      <c r="K98" s="107"/>
      <c r="L98" s="107"/>
      <c r="M98" s="107"/>
      <c r="N98" s="107"/>
    </row>
    <row r="99" spans="1:16" x14ac:dyDescent="0.3">
      <c r="A99" s="13"/>
      <c r="B99" s="5"/>
      <c r="C99" s="13"/>
      <c r="D99" s="13"/>
      <c r="E99" s="13"/>
      <c r="F99" s="13"/>
      <c r="G99" s="13"/>
      <c r="H99" s="13"/>
      <c r="I99" s="13"/>
      <c r="J99" s="13"/>
      <c r="K99" s="13"/>
      <c r="L99" s="13"/>
      <c r="M99" s="13"/>
      <c r="N99" s="13"/>
    </row>
    <row r="100" spans="1:16" x14ac:dyDescent="0.3">
      <c r="A100" s="13"/>
      <c r="B100" s="13"/>
      <c r="C100" s="13"/>
      <c r="D100" s="5"/>
      <c r="E100" s="5"/>
      <c r="F100" s="5"/>
      <c r="G100" s="5"/>
      <c r="H100" s="5"/>
      <c r="I100" s="5"/>
      <c r="J100" s="5"/>
      <c r="K100" s="5"/>
      <c r="L100" s="5"/>
      <c r="M100" s="13"/>
      <c r="N100" s="13"/>
    </row>
    <row r="101" spans="1:16" x14ac:dyDescent="0.3">
      <c r="A101" s="13"/>
      <c r="B101" s="13"/>
      <c r="C101" s="13"/>
      <c r="D101" s="5"/>
      <c r="E101" s="5"/>
      <c r="F101" s="5"/>
      <c r="G101" s="5"/>
      <c r="H101" s="5"/>
      <c r="I101" s="5"/>
      <c r="J101" s="5"/>
      <c r="K101" s="5"/>
      <c r="L101" s="5"/>
      <c r="M101" s="13"/>
      <c r="N101" s="13"/>
    </row>
    <row r="102" spans="1:16" x14ac:dyDescent="0.3">
      <c r="A102" s="13"/>
      <c r="B102" s="13"/>
      <c r="C102" s="13"/>
      <c r="D102" s="5"/>
      <c r="E102" s="5"/>
      <c r="F102" s="5"/>
      <c r="G102" s="5"/>
      <c r="H102" s="5"/>
      <c r="I102" s="5"/>
      <c r="J102" s="5"/>
      <c r="K102" s="5"/>
      <c r="L102" s="5"/>
      <c r="M102" s="13"/>
      <c r="N102" s="13"/>
    </row>
    <row r="103" spans="1:16" x14ac:dyDescent="0.3">
      <c r="A103" s="13"/>
      <c r="B103" s="13"/>
      <c r="C103" s="13"/>
      <c r="D103" s="5"/>
      <c r="E103" s="5"/>
      <c r="F103" s="5"/>
      <c r="G103" s="5"/>
      <c r="H103" s="5"/>
      <c r="I103" s="5"/>
      <c r="J103" s="5"/>
      <c r="K103" s="5"/>
      <c r="L103" s="5"/>
      <c r="M103" s="13"/>
      <c r="N103" s="13"/>
    </row>
    <row r="104" spans="1:16" x14ac:dyDescent="0.3">
      <c r="A104" s="13"/>
      <c r="B104" s="13"/>
      <c r="C104" s="13"/>
      <c r="D104" s="5"/>
      <c r="E104" s="5"/>
      <c r="F104" s="5"/>
      <c r="G104" s="5"/>
      <c r="H104" s="5"/>
      <c r="I104" s="5"/>
      <c r="J104" s="5"/>
      <c r="K104" s="5"/>
      <c r="L104" s="5"/>
      <c r="M104" s="13"/>
      <c r="N104" s="13"/>
    </row>
    <row r="105" spans="1:16" x14ac:dyDescent="0.3">
      <c r="A105" s="13"/>
      <c r="B105" s="13"/>
      <c r="C105" s="13"/>
      <c r="D105" s="5"/>
      <c r="E105" s="5"/>
      <c r="F105" s="5"/>
      <c r="G105" s="5"/>
      <c r="H105" s="5"/>
      <c r="I105" s="5"/>
      <c r="J105" s="5"/>
      <c r="K105" s="5"/>
      <c r="L105" s="5"/>
      <c r="M105" s="13"/>
      <c r="N105" s="13"/>
    </row>
    <row r="106" spans="1:16" x14ac:dyDescent="0.3">
      <c r="A106" s="13"/>
      <c r="B106" s="13"/>
      <c r="C106" s="13"/>
      <c r="D106" s="5"/>
      <c r="E106" s="5"/>
      <c r="F106" s="5"/>
      <c r="G106" s="5"/>
      <c r="H106" s="5"/>
      <c r="I106" s="5"/>
      <c r="J106" s="5"/>
      <c r="K106" s="5"/>
      <c r="L106" s="5"/>
      <c r="M106" s="13"/>
      <c r="N106" s="13"/>
    </row>
    <row r="107" spans="1:16" x14ac:dyDescent="0.3">
      <c r="A107" s="13"/>
      <c r="B107" s="13"/>
      <c r="C107" s="13"/>
      <c r="D107" s="5"/>
      <c r="E107" s="5"/>
      <c r="F107" s="5"/>
      <c r="G107" s="5"/>
      <c r="H107" s="5"/>
      <c r="I107" s="5"/>
      <c r="J107" s="5"/>
      <c r="K107" s="5"/>
      <c r="L107" s="5"/>
      <c r="M107" s="13"/>
      <c r="N107" s="13"/>
    </row>
    <row r="108" spans="1:16" x14ac:dyDescent="0.3">
      <c r="A108" s="13"/>
      <c r="B108" s="13"/>
      <c r="C108" s="13"/>
      <c r="D108" s="5"/>
      <c r="E108" s="5"/>
      <c r="F108" s="5"/>
      <c r="G108" s="5"/>
      <c r="H108" s="5"/>
      <c r="I108" s="5"/>
      <c r="J108" s="5"/>
      <c r="K108" s="5"/>
      <c r="L108" s="5"/>
      <c r="M108" s="13"/>
      <c r="N108" s="13"/>
    </row>
    <row r="109" spans="1:16" x14ac:dyDescent="0.3">
      <c r="A109" s="13"/>
      <c r="B109" s="13"/>
      <c r="C109" s="13"/>
      <c r="D109" s="5"/>
      <c r="E109" s="5"/>
      <c r="F109" s="5"/>
      <c r="G109" s="5"/>
      <c r="H109" s="5"/>
      <c r="I109" s="5"/>
      <c r="J109" s="5"/>
      <c r="K109" s="5"/>
      <c r="L109" s="5"/>
      <c r="M109" s="13"/>
      <c r="N109" s="13"/>
    </row>
    <row r="110" spans="1:16" x14ac:dyDescent="0.3">
      <c r="A110" s="13"/>
      <c r="B110" s="13"/>
      <c r="C110" s="13"/>
      <c r="D110" s="5"/>
      <c r="E110" s="5"/>
      <c r="F110" s="5"/>
      <c r="G110" s="5"/>
      <c r="H110" s="5"/>
      <c r="I110" s="5"/>
      <c r="J110" s="5"/>
      <c r="K110" s="5"/>
      <c r="L110" s="5"/>
      <c r="M110" s="13"/>
      <c r="N110" s="13"/>
    </row>
    <row r="111" spans="1:16" x14ac:dyDescent="0.3">
      <c r="A111" s="13"/>
      <c r="B111" s="13"/>
      <c r="C111" s="13"/>
      <c r="D111" s="5"/>
      <c r="E111" s="5"/>
      <c r="F111" s="5"/>
      <c r="G111" s="5"/>
      <c r="H111" s="5"/>
      <c r="I111" s="5"/>
      <c r="J111" s="5"/>
      <c r="K111" s="5"/>
      <c r="L111" s="5"/>
      <c r="M111" s="13"/>
      <c r="N111" s="13"/>
    </row>
    <row r="112" spans="1:16" x14ac:dyDescent="0.3">
      <c r="A112" s="13"/>
      <c r="B112" s="13"/>
      <c r="C112" s="13"/>
      <c r="D112" s="5"/>
      <c r="E112" s="5"/>
      <c r="F112" s="5"/>
      <c r="G112" s="5"/>
      <c r="H112" s="5"/>
      <c r="I112" s="5"/>
      <c r="J112" s="5"/>
      <c r="K112" s="5"/>
      <c r="L112" s="5"/>
      <c r="M112" s="13"/>
      <c r="N112" s="13"/>
    </row>
    <row r="113" spans="1:16" x14ac:dyDescent="0.3">
      <c r="A113" s="13"/>
      <c r="B113" s="13"/>
      <c r="C113" s="13"/>
      <c r="D113" s="5"/>
      <c r="E113" s="5"/>
      <c r="F113" s="5"/>
      <c r="G113" s="5"/>
      <c r="H113" s="5"/>
      <c r="I113" s="5"/>
      <c r="J113" s="5"/>
      <c r="K113" s="5"/>
      <c r="L113" s="5"/>
      <c r="M113" s="13"/>
      <c r="N113" s="13"/>
    </row>
    <row r="114" spans="1:16" x14ac:dyDescent="0.3">
      <c r="A114" s="13"/>
      <c r="B114" s="13"/>
      <c r="C114" s="13"/>
      <c r="D114" s="5"/>
      <c r="E114" s="5"/>
      <c r="F114" s="5"/>
      <c r="G114" s="5"/>
      <c r="H114" s="5"/>
      <c r="I114" s="5"/>
      <c r="J114" s="5"/>
      <c r="K114" s="5"/>
      <c r="L114" s="5"/>
      <c r="M114" s="13"/>
      <c r="N114" s="13"/>
    </row>
    <row r="115" spans="1:16" x14ac:dyDescent="0.3">
      <c r="A115" s="13"/>
      <c r="B115" s="13"/>
      <c r="C115" s="13"/>
      <c r="D115" s="5"/>
      <c r="E115" s="5"/>
      <c r="F115" s="5"/>
      <c r="G115" s="5"/>
      <c r="H115" s="5"/>
      <c r="I115" s="5"/>
      <c r="J115" s="5"/>
      <c r="K115" s="5"/>
      <c r="L115" s="5"/>
      <c r="M115" s="13"/>
      <c r="N115" s="13"/>
    </row>
    <row r="116" spans="1:16" x14ac:dyDescent="0.3">
      <c r="A116" s="13"/>
      <c r="B116" s="13"/>
      <c r="C116" s="13"/>
      <c r="D116" s="5"/>
      <c r="E116" s="5"/>
      <c r="F116" s="5"/>
      <c r="G116" s="5"/>
      <c r="H116" s="5"/>
      <c r="I116" s="5"/>
      <c r="J116" s="5"/>
      <c r="K116" s="5"/>
      <c r="L116" s="5"/>
      <c r="M116" s="13"/>
      <c r="N116" s="13"/>
    </row>
    <row r="117" spans="1:16" x14ac:dyDescent="0.3">
      <c r="A117" s="13"/>
      <c r="B117" s="13"/>
      <c r="C117" s="13"/>
      <c r="D117" s="5"/>
      <c r="E117" s="5"/>
      <c r="F117" s="5"/>
      <c r="G117" s="5"/>
      <c r="H117" s="5"/>
      <c r="I117" s="5"/>
      <c r="J117" s="5"/>
      <c r="K117" s="5"/>
      <c r="L117" s="5"/>
      <c r="M117" s="13"/>
      <c r="N117" s="13"/>
    </row>
    <row r="118" spans="1:16" x14ac:dyDescent="0.3">
      <c r="A118" s="13"/>
      <c r="B118" s="13"/>
      <c r="C118" s="13"/>
      <c r="D118" s="5"/>
      <c r="E118" s="5"/>
      <c r="F118" s="5"/>
      <c r="G118" s="5"/>
      <c r="H118" s="5"/>
      <c r="I118" s="5"/>
      <c r="J118" s="5"/>
      <c r="K118" s="5"/>
      <c r="L118" s="5"/>
      <c r="M118" s="13"/>
      <c r="N118" s="13"/>
    </row>
    <row r="119" spans="1:16" x14ac:dyDescent="0.3">
      <c r="A119" s="13"/>
      <c r="B119" s="13"/>
      <c r="C119" s="13"/>
      <c r="D119" s="5"/>
      <c r="E119" s="5"/>
      <c r="F119" s="5"/>
      <c r="G119" s="5"/>
      <c r="H119" s="5"/>
      <c r="I119" s="5"/>
      <c r="J119" s="5"/>
      <c r="K119" s="5"/>
      <c r="L119" s="5"/>
      <c r="M119" s="13"/>
      <c r="N119" s="13"/>
    </row>
    <row r="120" spans="1:16" x14ac:dyDescent="0.3">
      <c r="A120" s="13"/>
      <c r="B120" s="13"/>
      <c r="C120" s="13"/>
      <c r="D120" s="5"/>
      <c r="E120" s="5"/>
      <c r="F120" s="5"/>
      <c r="G120" s="5"/>
      <c r="H120" s="5"/>
      <c r="I120" s="5"/>
      <c r="J120" s="5"/>
      <c r="K120" s="5"/>
      <c r="L120" s="5"/>
      <c r="M120" s="13"/>
      <c r="N120" s="13"/>
    </row>
    <row r="121" spans="1:16" x14ac:dyDescent="0.3">
      <c r="A121" s="13"/>
      <c r="B121" s="13"/>
      <c r="C121" s="13"/>
      <c r="D121" s="5"/>
      <c r="E121" s="5"/>
      <c r="F121" s="5"/>
      <c r="G121" s="5"/>
      <c r="H121" s="5"/>
      <c r="I121" s="5"/>
      <c r="J121" s="5"/>
      <c r="K121" s="5"/>
      <c r="L121" s="5"/>
      <c r="M121" s="13"/>
      <c r="N121" s="13"/>
    </row>
    <row r="122" spans="1:16" x14ac:dyDescent="0.3">
      <c r="A122" s="13"/>
      <c r="B122" s="13"/>
      <c r="C122" s="13"/>
      <c r="D122" s="5"/>
      <c r="E122" s="5"/>
      <c r="F122" s="5"/>
      <c r="G122" s="5"/>
      <c r="H122" s="5"/>
      <c r="I122" s="5"/>
      <c r="J122" s="5"/>
      <c r="K122" s="5"/>
      <c r="L122" s="5"/>
      <c r="M122" s="13"/>
      <c r="N122" s="13"/>
    </row>
    <row r="123" spans="1:16" s="133" customFormat="1" x14ac:dyDescent="0.3">
      <c r="A123" s="5"/>
      <c r="B123" s="5"/>
      <c r="C123" s="5"/>
      <c r="D123" s="5"/>
      <c r="E123" s="5"/>
      <c r="F123" s="5"/>
      <c r="G123" s="5"/>
      <c r="H123" s="5"/>
      <c r="I123" s="5"/>
      <c r="J123" s="5"/>
      <c r="K123" s="5"/>
      <c r="L123" s="5"/>
      <c r="M123" s="5"/>
      <c r="N123" s="5"/>
      <c r="P123" s="222"/>
    </row>
    <row r="124" spans="1:16" s="133" customFormat="1" x14ac:dyDescent="0.3">
      <c r="A124" s="5"/>
      <c r="B124" s="5"/>
      <c r="C124" s="5"/>
      <c r="D124" s="5"/>
      <c r="E124" s="5"/>
      <c r="F124" s="5"/>
      <c r="G124" s="5"/>
      <c r="H124" s="5"/>
      <c r="I124" s="5"/>
      <c r="J124" s="5"/>
      <c r="K124" s="5"/>
      <c r="L124" s="5"/>
      <c r="M124" s="5"/>
      <c r="N124" s="5"/>
      <c r="P124" s="222"/>
    </row>
    <row r="125" spans="1:16" s="133" customFormat="1" x14ac:dyDescent="0.3">
      <c r="A125" s="5"/>
      <c r="B125" s="5"/>
      <c r="C125" s="5"/>
      <c r="D125" s="5"/>
      <c r="E125" s="5"/>
      <c r="F125" s="5"/>
      <c r="G125" s="5"/>
      <c r="H125" s="5"/>
      <c r="I125" s="5"/>
      <c r="J125" s="5"/>
      <c r="K125" s="5"/>
      <c r="L125" s="5"/>
      <c r="M125" s="5"/>
      <c r="N125" s="5"/>
      <c r="P125" s="222"/>
    </row>
    <row r="126" spans="1:16" s="133" customFormat="1" x14ac:dyDescent="0.3">
      <c r="A126" s="5"/>
      <c r="B126" s="5"/>
      <c r="C126" s="5"/>
      <c r="D126" s="5"/>
      <c r="E126" s="5"/>
      <c r="F126" s="5"/>
      <c r="G126" s="5"/>
      <c r="H126" s="5"/>
      <c r="I126" s="5"/>
      <c r="J126" s="5"/>
      <c r="K126" s="5"/>
      <c r="L126" s="5"/>
      <c r="M126" s="5"/>
      <c r="N126" s="5"/>
      <c r="P126" s="222"/>
    </row>
    <row r="127" spans="1:16" s="133" customFormat="1" x14ac:dyDescent="0.3">
      <c r="A127" s="5"/>
      <c r="B127" s="17"/>
      <c r="C127" s="17"/>
      <c r="D127" s="17"/>
      <c r="E127" s="17"/>
      <c r="F127" s="17"/>
      <c r="G127" s="17"/>
      <c r="H127" s="17"/>
      <c r="I127" s="17"/>
      <c r="J127" s="17"/>
      <c r="K127" s="17"/>
      <c r="L127" s="17"/>
      <c r="M127" s="17"/>
      <c r="N127" s="17"/>
      <c r="P127" s="222"/>
    </row>
    <row r="128" spans="1:16" s="133" customFormat="1" x14ac:dyDescent="0.3">
      <c r="A128" s="5" t="s">
        <v>29</v>
      </c>
      <c r="B128" s="106" t="s">
        <v>272</v>
      </c>
      <c r="C128" s="107"/>
      <c r="D128" s="107"/>
      <c r="E128" s="107"/>
      <c r="F128" s="107"/>
      <c r="G128" s="107"/>
      <c r="H128" s="107"/>
      <c r="I128" s="107"/>
      <c r="J128" s="107"/>
      <c r="K128" s="107"/>
      <c r="L128" s="107"/>
      <c r="M128" s="107"/>
      <c r="N128" s="107"/>
      <c r="P128" s="222"/>
    </row>
    <row r="129" spans="1:22" s="133" customFormat="1" x14ac:dyDescent="0.3">
      <c r="A129" s="5"/>
      <c r="B129" s="5"/>
      <c r="C129" s="5"/>
      <c r="D129" s="5"/>
      <c r="E129" s="5"/>
      <c r="F129" s="5"/>
      <c r="G129" s="5"/>
      <c r="H129" s="5"/>
      <c r="I129" s="5"/>
      <c r="J129" s="5"/>
      <c r="K129" s="5"/>
      <c r="L129" s="5"/>
      <c r="M129" s="5"/>
      <c r="N129" s="5"/>
      <c r="P129" s="222"/>
    </row>
    <row r="130" spans="1:22" s="133" customFormat="1" x14ac:dyDescent="0.3">
      <c r="A130" s="5"/>
      <c r="B130" s="194"/>
      <c r="C130" s="5"/>
      <c r="D130" s="5"/>
      <c r="E130" s="5"/>
      <c r="F130" s="5"/>
      <c r="G130" s="5"/>
      <c r="H130" s="5"/>
      <c r="I130" s="5"/>
      <c r="J130" s="5"/>
      <c r="K130" s="5"/>
      <c r="L130" s="5"/>
      <c r="M130" s="5"/>
      <c r="N130" s="194"/>
      <c r="P130" s="222"/>
    </row>
    <row r="131" spans="1:22" s="133" customFormat="1" x14ac:dyDescent="0.3">
      <c r="A131" s="5"/>
      <c r="B131" s="194"/>
      <c r="C131" s="5"/>
      <c r="D131" s="5"/>
      <c r="E131" s="5"/>
      <c r="F131" s="5"/>
      <c r="G131" s="5"/>
      <c r="H131" s="5"/>
      <c r="I131" s="5"/>
      <c r="J131" s="5"/>
      <c r="K131" s="5"/>
      <c r="L131" s="5"/>
      <c r="M131" s="5"/>
      <c r="N131" s="194"/>
      <c r="P131" s="222"/>
    </row>
    <row r="132" spans="1:22" s="133" customFormat="1" x14ac:dyDescent="0.3">
      <c r="A132" s="5"/>
      <c r="B132" s="194"/>
      <c r="C132" s="5"/>
      <c r="D132" s="5"/>
      <c r="E132" s="5"/>
      <c r="F132" s="5"/>
      <c r="G132" s="5"/>
      <c r="H132" s="5"/>
      <c r="I132" s="5"/>
      <c r="J132" s="5"/>
      <c r="K132" s="5"/>
      <c r="L132" s="5"/>
      <c r="M132" s="5"/>
      <c r="N132" s="194"/>
      <c r="P132" s="222"/>
    </row>
    <row r="133" spans="1:22" s="133" customFormat="1" x14ac:dyDescent="0.3">
      <c r="A133" s="5"/>
      <c r="B133" s="194"/>
      <c r="C133" s="5"/>
      <c r="D133" s="5"/>
      <c r="E133" s="5"/>
      <c r="F133" s="5"/>
      <c r="G133" s="5"/>
      <c r="H133" s="5"/>
      <c r="I133" s="5"/>
      <c r="J133" s="5"/>
      <c r="K133" s="5"/>
      <c r="L133" s="5"/>
      <c r="M133" s="5"/>
      <c r="N133" s="194"/>
      <c r="P133" s="222"/>
      <c r="Q133" s="211" t="s">
        <v>263</v>
      </c>
      <c r="R133" s="212">
        <f>$R$47</f>
        <v>2021</v>
      </c>
      <c r="S133" s="212">
        <f t="shared" ref="S133:V133" si="9">$R$47</f>
        <v>2021</v>
      </c>
      <c r="T133" s="212">
        <f t="shared" si="9"/>
        <v>2021</v>
      </c>
      <c r="U133" s="212">
        <f t="shared" si="9"/>
        <v>2021</v>
      </c>
      <c r="V133" s="212">
        <f t="shared" si="9"/>
        <v>2021</v>
      </c>
    </row>
    <row r="134" spans="1:22" s="133" customFormat="1" x14ac:dyDescent="0.3">
      <c r="A134" s="5"/>
      <c r="B134" s="5"/>
      <c r="C134" s="5"/>
      <c r="D134" s="5"/>
      <c r="E134" s="5"/>
      <c r="F134" s="5"/>
      <c r="G134" s="5"/>
      <c r="H134" s="5"/>
      <c r="I134" s="5"/>
      <c r="J134" s="5"/>
      <c r="K134" s="5"/>
      <c r="L134" s="5"/>
      <c r="M134" s="5"/>
      <c r="N134" s="5"/>
      <c r="P134" s="222"/>
      <c r="Q134" s="194" t="s">
        <v>197</v>
      </c>
      <c r="R134" s="220">
        <f>'Capital Intensity'!I31</f>
        <v>0.12488447423438945</v>
      </c>
      <c r="S134" s="202">
        <f>'Capital Intensity'!J31</f>
        <v>0.14106724215559938</v>
      </c>
      <c r="T134" s="202">
        <f>'Capital Intensity'!K31</f>
        <v>0.13014491446438772</v>
      </c>
      <c r="U134" s="202">
        <f>'Capital Intensity'!L31</f>
        <v>9.050920279192011E-2</v>
      </c>
      <c r="V134" s="202">
        <f>'Capital Intensity'!M31</f>
        <v>5.7487561093743117E-2</v>
      </c>
    </row>
    <row r="135" spans="1:22" s="133" customFormat="1" x14ac:dyDescent="0.3">
      <c r="A135" s="5"/>
      <c r="B135" s="5"/>
      <c r="C135" s="5"/>
      <c r="D135" s="5"/>
      <c r="E135" s="5"/>
      <c r="F135" s="5"/>
      <c r="G135" s="5"/>
      <c r="H135" s="5"/>
      <c r="I135" s="5"/>
      <c r="J135" s="5"/>
      <c r="K135" s="5"/>
      <c r="L135" s="5"/>
      <c r="M135" s="5"/>
      <c r="N135" s="5"/>
      <c r="P135" s="222"/>
    </row>
    <row r="136" spans="1:22" s="133" customFormat="1" x14ac:dyDescent="0.3">
      <c r="A136" s="13"/>
      <c r="B136" s="13"/>
      <c r="C136" s="13"/>
      <c r="D136" s="5"/>
      <c r="E136" s="5"/>
      <c r="F136" s="5"/>
      <c r="G136" s="5"/>
      <c r="H136" s="5"/>
      <c r="I136" s="5"/>
      <c r="J136" s="5"/>
      <c r="K136" s="5"/>
      <c r="L136" s="5"/>
      <c r="M136" s="13"/>
      <c r="N136" s="13"/>
      <c r="P136" s="222"/>
    </row>
    <row r="137" spans="1:22" s="133" customFormat="1" x14ac:dyDescent="0.3">
      <c r="A137" s="13"/>
      <c r="B137" s="13"/>
      <c r="C137" s="13"/>
      <c r="D137" s="5"/>
      <c r="E137" s="5"/>
      <c r="F137" s="5"/>
      <c r="G137" s="5"/>
      <c r="H137" s="5"/>
      <c r="I137" s="5"/>
      <c r="J137" s="5"/>
      <c r="K137" s="5"/>
      <c r="L137" s="5"/>
      <c r="M137" s="13"/>
      <c r="N137" s="13"/>
      <c r="P137" s="222"/>
    </row>
    <row r="138" spans="1:22" s="133" customFormat="1" x14ac:dyDescent="0.3">
      <c r="A138" s="13"/>
      <c r="B138" s="13"/>
      <c r="C138" s="13"/>
      <c r="D138" s="5"/>
      <c r="E138" s="5"/>
      <c r="F138" s="5"/>
      <c r="G138" s="5"/>
      <c r="H138" s="5"/>
      <c r="I138" s="5"/>
      <c r="J138" s="5"/>
      <c r="K138" s="5"/>
      <c r="L138" s="5"/>
      <c r="M138" s="13"/>
      <c r="N138" s="13"/>
      <c r="P138" s="222"/>
    </row>
    <row r="139" spans="1:22" s="133" customFormat="1" x14ac:dyDescent="0.3">
      <c r="A139" s="5"/>
      <c r="B139" s="5"/>
      <c r="C139" s="5"/>
      <c r="D139" s="5"/>
      <c r="E139" s="5"/>
      <c r="F139" s="5"/>
      <c r="G139" s="5"/>
      <c r="H139" s="5"/>
      <c r="I139" s="5"/>
      <c r="J139" s="5"/>
      <c r="K139" s="5"/>
      <c r="L139" s="5"/>
      <c r="M139" s="5"/>
      <c r="N139" s="5"/>
      <c r="P139" s="222"/>
    </row>
    <row r="140" spans="1:22" s="133" customFormat="1" x14ac:dyDescent="0.3">
      <c r="A140" s="5"/>
      <c r="B140" s="5"/>
      <c r="C140" s="5"/>
      <c r="D140" s="5"/>
      <c r="E140" s="5"/>
      <c r="F140" s="5"/>
      <c r="G140" s="5"/>
      <c r="H140" s="5"/>
      <c r="I140" s="5"/>
      <c r="J140" s="5"/>
      <c r="K140" s="5"/>
      <c r="L140" s="5"/>
      <c r="M140" s="5"/>
      <c r="N140" s="5"/>
      <c r="P140" s="222"/>
    </row>
    <row r="141" spans="1:22" s="133" customFormat="1" x14ac:dyDescent="0.3">
      <c r="A141" s="5"/>
      <c r="B141" s="5"/>
      <c r="C141" s="5"/>
      <c r="D141" s="5"/>
      <c r="E141" s="5"/>
      <c r="F141" s="5"/>
      <c r="G141" s="5"/>
      <c r="H141" s="5"/>
      <c r="I141" s="5"/>
      <c r="J141" s="5"/>
      <c r="K141" s="5"/>
      <c r="L141" s="5"/>
      <c r="M141" s="5"/>
      <c r="N141" s="5"/>
      <c r="P141" s="222"/>
    </row>
    <row r="142" spans="1:22" s="133" customFormat="1" x14ac:dyDescent="0.3">
      <c r="A142" s="5"/>
      <c r="B142" s="5"/>
      <c r="C142" s="5"/>
      <c r="D142" s="5"/>
      <c r="E142" s="5"/>
      <c r="F142" s="5"/>
      <c r="G142" s="5"/>
      <c r="H142" s="5"/>
      <c r="I142" s="5"/>
      <c r="J142" s="5"/>
      <c r="K142" s="5"/>
      <c r="L142" s="5"/>
      <c r="M142" s="5"/>
      <c r="N142" s="5"/>
      <c r="P142" s="222"/>
    </row>
    <row r="143" spans="1:22" s="133" customFormat="1" x14ac:dyDescent="0.3">
      <c r="A143" s="5"/>
      <c r="B143" s="5"/>
      <c r="C143" s="5"/>
      <c r="D143" s="5"/>
      <c r="E143" s="5"/>
      <c r="F143" s="5"/>
      <c r="G143" s="5"/>
      <c r="H143" s="5"/>
      <c r="I143" s="5"/>
      <c r="J143" s="5"/>
      <c r="K143" s="5"/>
      <c r="L143" s="5"/>
      <c r="M143" s="5"/>
      <c r="N143" s="5"/>
      <c r="P143" s="222"/>
    </row>
    <row r="144" spans="1:22" s="133" customFormat="1" x14ac:dyDescent="0.3">
      <c r="A144" s="5"/>
      <c r="B144" s="5"/>
      <c r="C144" s="5"/>
      <c r="D144" s="5"/>
      <c r="E144" s="5"/>
      <c r="F144" s="5"/>
      <c r="G144" s="5"/>
      <c r="H144" s="5"/>
      <c r="I144" s="5"/>
      <c r="J144" s="5"/>
      <c r="K144" s="5"/>
      <c r="L144" s="5"/>
      <c r="M144" s="5"/>
      <c r="N144" s="5"/>
      <c r="P144" s="222"/>
    </row>
    <row r="145" spans="1:16" s="133" customFormat="1" x14ac:dyDescent="0.3">
      <c r="A145" s="5"/>
      <c r="B145" s="5"/>
      <c r="C145" s="5"/>
      <c r="D145" s="5"/>
      <c r="E145" s="5"/>
      <c r="F145" s="5"/>
      <c r="G145" s="5"/>
      <c r="H145" s="5"/>
      <c r="I145" s="5"/>
      <c r="J145" s="5"/>
      <c r="K145" s="5"/>
      <c r="L145" s="5"/>
      <c r="M145" s="5"/>
      <c r="N145" s="5"/>
      <c r="P145" s="222"/>
    </row>
    <row r="146" spans="1:16" s="133" customFormat="1" x14ac:dyDescent="0.3">
      <c r="A146" s="5"/>
      <c r="B146" s="5"/>
      <c r="C146" s="5"/>
      <c r="D146" s="5"/>
      <c r="E146" s="5"/>
      <c r="F146" s="5"/>
      <c r="G146" s="5"/>
      <c r="H146" s="5"/>
      <c r="I146" s="5"/>
      <c r="J146" s="5"/>
      <c r="K146" s="5"/>
      <c r="L146" s="5"/>
      <c r="M146" s="5"/>
      <c r="N146" s="5"/>
      <c r="P146" s="222"/>
    </row>
    <row r="147" spans="1:16" s="133" customFormat="1" x14ac:dyDescent="0.3">
      <c r="A147" s="5"/>
      <c r="B147" s="5"/>
      <c r="C147" s="5"/>
      <c r="D147" s="5"/>
      <c r="E147" s="5"/>
      <c r="F147" s="5"/>
      <c r="G147" s="5"/>
      <c r="H147" s="5"/>
      <c r="I147" s="5"/>
      <c r="J147" s="5"/>
      <c r="K147" s="5"/>
      <c r="L147" s="5"/>
      <c r="M147" s="5"/>
      <c r="N147" s="5"/>
      <c r="P147" s="222"/>
    </row>
    <row r="148" spans="1:16" s="133" customFormat="1" x14ac:dyDescent="0.3">
      <c r="A148" s="5"/>
      <c r="B148" s="5"/>
      <c r="C148" s="5"/>
      <c r="D148" s="5"/>
      <c r="E148" s="5"/>
      <c r="F148" s="5"/>
      <c r="G148" s="5"/>
      <c r="H148" s="5"/>
      <c r="I148" s="5"/>
      <c r="J148" s="5"/>
      <c r="K148" s="5"/>
      <c r="L148" s="5"/>
      <c r="M148" s="5"/>
      <c r="N148" s="5"/>
      <c r="P148" s="222"/>
    </row>
    <row r="149" spans="1:16" s="133" customFormat="1" x14ac:dyDescent="0.3">
      <c r="A149" s="5"/>
      <c r="B149" s="5"/>
      <c r="C149" s="5"/>
      <c r="D149" s="5"/>
      <c r="E149" s="5"/>
      <c r="F149" s="5"/>
      <c r="G149" s="5"/>
      <c r="H149" s="5"/>
      <c r="I149" s="5"/>
      <c r="J149" s="5"/>
      <c r="K149" s="5"/>
      <c r="L149" s="5"/>
      <c r="M149" s="5"/>
      <c r="N149" s="5"/>
      <c r="P149" s="222"/>
    </row>
    <row r="150" spans="1:16" s="133" customFormat="1" x14ac:dyDescent="0.3">
      <c r="A150" s="5"/>
      <c r="B150" s="5"/>
      <c r="C150" s="5"/>
      <c r="D150" s="5"/>
      <c r="E150" s="5"/>
      <c r="F150" s="5"/>
      <c r="G150" s="5"/>
      <c r="H150" s="5"/>
      <c r="I150" s="5"/>
      <c r="J150" s="5"/>
      <c r="K150" s="5"/>
      <c r="L150" s="5"/>
      <c r="M150" s="5"/>
      <c r="N150" s="5"/>
      <c r="P150" s="222"/>
    </row>
    <row r="151" spans="1:16" s="133" customFormat="1" x14ac:dyDescent="0.3">
      <c r="A151" s="5"/>
      <c r="B151" s="5"/>
      <c r="C151" s="5"/>
      <c r="D151" s="5"/>
      <c r="E151" s="5"/>
      <c r="F151" s="5"/>
      <c r="G151" s="5"/>
      <c r="H151" s="5"/>
      <c r="I151" s="5"/>
      <c r="J151" s="5"/>
      <c r="K151" s="5"/>
      <c r="L151" s="5"/>
      <c r="M151" s="5"/>
      <c r="N151" s="5"/>
      <c r="P151" s="222"/>
    </row>
    <row r="152" spans="1:16" s="133" customFormat="1" x14ac:dyDescent="0.3">
      <c r="A152" s="5"/>
      <c r="B152" s="5"/>
      <c r="C152" s="5"/>
      <c r="D152" s="5"/>
      <c r="E152" s="5"/>
      <c r="F152" s="5"/>
      <c r="G152" s="5"/>
      <c r="H152" s="5"/>
      <c r="I152" s="5"/>
      <c r="J152" s="5"/>
      <c r="K152" s="5"/>
      <c r="L152" s="5"/>
      <c r="M152" s="5"/>
      <c r="N152" s="5"/>
      <c r="P152" s="222"/>
    </row>
    <row r="153" spans="1:16" s="133" customFormat="1" x14ac:dyDescent="0.3">
      <c r="A153" s="5"/>
      <c r="B153" s="5"/>
      <c r="C153" s="5"/>
      <c r="D153" s="5"/>
      <c r="E153" s="5"/>
      <c r="F153" s="5"/>
      <c r="G153" s="5"/>
      <c r="H153" s="5"/>
      <c r="I153" s="5"/>
      <c r="J153" s="5"/>
      <c r="K153" s="5"/>
      <c r="L153" s="5"/>
      <c r="M153" s="5"/>
      <c r="N153" s="5"/>
      <c r="P153" s="222"/>
    </row>
    <row r="154" spans="1:16" s="133" customFormat="1" x14ac:dyDescent="0.3">
      <c r="A154" s="5"/>
      <c r="B154" s="5"/>
      <c r="C154" s="5"/>
      <c r="D154" s="5"/>
      <c r="E154" s="5"/>
      <c r="F154" s="5"/>
      <c r="G154" s="5"/>
      <c r="H154" s="5"/>
      <c r="I154" s="5"/>
      <c r="J154" s="5"/>
      <c r="K154" s="5"/>
      <c r="L154" s="5"/>
      <c r="M154" s="5"/>
      <c r="N154" s="5"/>
      <c r="P154" s="222"/>
    </row>
    <row r="155" spans="1:16" s="133" customFormat="1" x14ac:dyDescent="0.3">
      <c r="A155" s="5"/>
      <c r="B155" s="5"/>
      <c r="C155" s="5"/>
      <c r="D155" s="5"/>
      <c r="E155" s="5"/>
      <c r="F155" s="5"/>
      <c r="G155" s="5"/>
      <c r="H155" s="5"/>
      <c r="I155" s="5"/>
      <c r="J155" s="5"/>
      <c r="K155" s="5"/>
      <c r="L155" s="5"/>
      <c r="M155" s="5"/>
      <c r="N155" s="5"/>
      <c r="P155" s="222"/>
    </row>
    <row r="156" spans="1:16" s="133" customFormat="1" x14ac:dyDescent="0.3">
      <c r="A156" s="5"/>
      <c r="B156" s="5"/>
      <c r="C156" s="5"/>
      <c r="D156" s="5"/>
      <c r="E156" s="5"/>
      <c r="F156" s="5"/>
      <c r="G156" s="5"/>
      <c r="H156" s="5"/>
      <c r="I156" s="5"/>
      <c r="J156" s="5"/>
      <c r="K156" s="5"/>
      <c r="L156" s="5"/>
      <c r="M156" s="5"/>
      <c r="N156" s="5"/>
      <c r="P156" s="222"/>
    </row>
    <row r="157" spans="1:16" s="133" customFormat="1" x14ac:dyDescent="0.3">
      <c r="A157" s="5"/>
      <c r="B157" s="17"/>
      <c r="C157" s="17"/>
      <c r="D157" s="17"/>
      <c r="E157" s="17"/>
      <c r="F157" s="17"/>
      <c r="G157" s="17"/>
      <c r="H157" s="17"/>
      <c r="I157" s="17"/>
      <c r="J157" s="17"/>
      <c r="K157" s="17"/>
      <c r="L157" s="17"/>
      <c r="M157" s="17"/>
      <c r="N157" s="17"/>
      <c r="P157" s="222"/>
    </row>
    <row r="158" spans="1:16" s="133" customFormat="1" x14ac:dyDescent="0.3">
      <c r="A158" s="5" t="s">
        <v>29</v>
      </c>
      <c r="B158" s="106" t="s">
        <v>276</v>
      </c>
      <c r="C158" s="107"/>
      <c r="D158" s="107"/>
      <c r="E158" s="107"/>
      <c r="F158" s="107"/>
      <c r="G158" s="107"/>
      <c r="H158" s="107"/>
      <c r="I158" s="107"/>
      <c r="J158" s="107"/>
      <c r="K158" s="107"/>
      <c r="L158" s="107"/>
      <c r="M158" s="107"/>
      <c r="N158" s="107"/>
      <c r="P158" s="222"/>
    </row>
    <row r="159" spans="1:16" s="133" customFormat="1" x14ac:dyDescent="0.3">
      <c r="A159" s="5"/>
      <c r="B159" s="5"/>
      <c r="C159" s="5"/>
      <c r="D159" s="5"/>
      <c r="E159" s="5"/>
      <c r="F159" s="5"/>
      <c r="G159" s="5"/>
      <c r="H159" s="5"/>
      <c r="I159" s="5"/>
      <c r="J159" s="5"/>
      <c r="K159" s="5"/>
      <c r="L159" s="5"/>
      <c r="M159" s="5"/>
      <c r="N159" s="5"/>
      <c r="P159" s="222"/>
    </row>
    <row r="160" spans="1:16" s="133" customFormat="1" x14ac:dyDescent="0.3">
      <c r="A160" s="5"/>
      <c r="B160" s="5"/>
      <c r="C160" s="5"/>
      <c r="D160" s="5"/>
      <c r="E160" s="5"/>
      <c r="F160" s="5"/>
      <c r="G160" s="5"/>
      <c r="H160" s="5"/>
      <c r="I160" s="5"/>
      <c r="J160" s="5"/>
      <c r="K160" s="5"/>
      <c r="L160" s="5"/>
      <c r="M160" s="5"/>
      <c r="N160" s="5"/>
      <c r="P160" s="222"/>
    </row>
    <row r="161" spans="1:24" s="133" customFormat="1" x14ac:dyDescent="0.3">
      <c r="A161" s="5"/>
      <c r="B161" s="5"/>
      <c r="C161" s="5"/>
      <c r="D161" s="5"/>
      <c r="E161" s="5"/>
      <c r="F161" s="5"/>
      <c r="G161" s="5"/>
      <c r="H161" s="5"/>
      <c r="I161" s="5"/>
      <c r="J161" s="5"/>
      <c r="K161" s="5"/>
      <c r="L161" s="5"/>
      <c r="M161" s="5"/>
      <c r="N161" s="5"/>
      <c r="P161" s="222"/>
    </row>
    <row r="162" spans="1:24" s="133" customFormat="1" x14ac:dyDescent="0.3">
      <c r="A162" s="5"/>
      <c r="B162" s="5"/>
      <c r="C162" s="5"/>
      <c r="D162" s="5"/>
      <c r="E162" s="5"/>
      <c r="F162" s="5"/>
      <c r="G162" s="5"/>
      <c r="H162" s="5"/>
      <c r="I162" s="5"/>
      <c r="J162" s="5"/>
      <c r="K162" s="5"/>
      <c r="L162" s="5"/>
      <c r="M162" s="5"/>
      <c r="N162" s="5"/>
      <c r="P162" s="222"/>
      <c r="Q162" s="212" t="s">
        <v>263</v>
      </c>
      <c r="R162" s="219">
        <f>R73</f>
        <v>2021</v>
      </c>
      <c r="S162" s="212">
        <f t="shared" ref="S162:V162" si="10">S73</f>
        <v>2021</v>
      </c>
      <c r="T162" s="212">
        <f t="shared" si="10"/>
        <v>2021</v>
      </c>
      <c r="U162" s="212">
        <f t="shared" si="10"/>
        <v>2021</v>
      </c>
      <c r="V162" s="212">
        <f t="shared" si="10"/>
        <v>2021</v>
      </c>
    </row>
    <row r="163" spans="1:24" x14ac:dyDescent="0.3">
      <c r="A163" s="5"/>
      <c r="B163" s="5"/>
      <c r="C163" s="5"/>
      <c r="D163" s="5"/>
      <c r="E163" s="5"/>
      <c r="F163" s="5"/>
      <c r="G163" s="5"/>
      <c r="H163" s="5"/>
      <c r="I163" s="5"/>
      <c r="J163" s="5"/>
      <c r="K163" s="5"/>
      <c r="L163" s="5"/>
      <c r="M163" s="5"/>
      <c r="N163" s="5"/>
      <c r="Q163" s="194" t="s">
        <v>198</v>
      </c>
      <c r="R163" s="213">
        <f>I9</f>
        <v>96712</v>
      </c>
      <c r="S163" s="203">
        <f>J9</f>
        <v>111601</v>
      </c>
      <c r="T163" s="203">
        <f>K9</f>
        <v>112756</v>
      </c>
      <c r="U163" s="203">
        <f>L9</f>
        <v>107761</v>
      </c>
      <c r="V163" s="203">
        <f>M9</f>
        <v>96407</v>
      </c>
      <c r="X163" s="203"/>
    </row>
    <row r="164" spans="1:24" x14ac:dyDescent="0.3">
      <c r="A164" s="5"/>
      <c r="B164" s="5"/>
      <c r="C164" s="5"/>
      <c r="D164" s="5"/>
      <c r="E164" s="5"/>
      <c r="F164" s="5"/>
      <c r="G164" s="5"/>
      <c r="H164" s="5"/>
      <c r="I164" s="5"/>
      <c r="J164" s="5"/>
      <c r="K164" s="5"/>
      <c r="L164" s="5"/>
      <c r="M164" s="5"/>
      <c r="N164" s="5"/>
      <c r="Q164" s="194" t="s">
        <v>267</v>
      </c>
      <c r="R164" s="214">
        <f>I12</f>
        <v>1.94</v>
      </c>
      <c r="S164" s="201">
        <f>J12</f>
        <v>2.04</v>
      </c>
      <c r="T164" s="201">
        <f>K12</f>
        <v>2.04</v>
      </c>
      <c r="U164" s="201">
        <f>L12</f>
        <v>1.98</v>
      </c>
      <c r="V164" s="201">
        <f>M12</f>
        <v>1.8</v>
      </c>
      <c r="X164" s="201"/>
    </row>
    <row r="165" spans="1:24" x14ac:dyDescent="0.3">
      <c r="A165" s="5"/>
      <c r="B165" s="5"/>
      <c r="C165" s="5"/>
      <c r="D165" s="5"/>
      <c r="E165" s="5"/>
      <c r="F165" s="5"/>
      <c r="G165" s="5"/>
      <c r="H165" s="5"/>
      <c r="I165" s="5"/>
      <c r="J165" s="5"/>
      <c r="K165" s="5"/>
      <c r="L165" s="5"/>
      <c r="M165" s="5"/>
      <c r="N165" s="5"/>
      <c r="Q165" s="172" t="s">
        <v>274</v>
      </c>
      <c r="R165" s="217">
        <f>R163/R164</f>
        <v>49851.546391752578</v>
      </c>
      <c r="S165" s="218">
        <f t="shared" ref="S165:V165" si="11">S163/S164</f>
        <v>54706.372549019608</v>
      </c>
      <c r="T165" s="218">
        <f t="shared" si="11"/>
        <v>55272.549019607839</v>
      </c>
      <c r="U165" s="218">
        <f t="shared" si="11"/>
        <v>54424.747474747477</v>
      </c>
      <c r="V165" s="218">
        <f t="shared" si="11"/>
        <v>53559.444444444445</v>
      </c>
    </row>
    <row r="166" spans="1:24" x14ac:dyDescent="0.3">
      <c r="A166" s="13"/>
      <c r="B166" s="13"/>
      <c r="C166" s="13"/>
      <c r="D166" s="5"/>
      <c r="E166" s="5"/>
      <c r="F166" s="5"/>
      <c r="G166" s="5"/>
      <c r="H166" s="5"/>
      <c r="I166" s="5"/>
      <c r="J166" s="5"/>
      <c r="K166" s="5"/>
      <c r="L166" s="5"/>
      <c r="M166" s="13"/>
      <c r="N166" s="13"/>
      <c r="R166" s="215"/>
      <c r="X166" s="203"/>
    </row>
    <row r="167" spans="1:24" x14ac:dyDescent="0.3">
      <c r="A167" s="13"/>
      <c r="B167" s="13"/>
      <c r="C167" s="13"/>
      <c r="D167" s="5"/>
      <c r="E167" s="5"/>
      <c r="F167" s="5"/>
      <c r="G167" s="5"/>
      <c r="H167" s="5"/>
      <c r="I167" s="5"/>
      <c r="J167" s="5"/>
      <c r="K167" s="5"/>
      <c r="L167" s="5"/>
      <c r="M167" s="13"/>
      <c r="N167" s="13"/>
      <c r="Q167" s="194" t="s">
        <v>199</v>
      </c>
      <c r="R167" s="213">
        <f>I16</f>
        <v>14735</v>
      </c>
      <c r="S167" s="203">
        <f>J16</f>
        <v>17217</v>
      </c>
      <c r="T167" s="203">
        <f>K16</f>
        <v>20288</v>
      </c>
      <c r="U167" s="203">
        <f>L16</f>
        <v>19320</v>
      </c>
      <c r="V167" s="203">
        <f>M16</f>
        <v>17148</v>
      </c>
      <c r="X167" s="207"/>
    </row>
    <row r="168" spans="1:24" x14ac:dyDescent="0.3">
      <c r="A168" s="13"/>
      <c r="B168" s="13"/>
      <c r="C168" s="13"/>
      <c r="D168" s="5"/>
      <c r="E168" s="5"/>
      <c r="F168" s="5"/>
      <c r="G168" s="5"/>
      <c r="H168" s="5"/>
      <c r="I168" s="5"/>
      <c r="J168" s="5"/>
      <c r="K168" s="5"/>
      <c r="L168" s="5"/>
      <c r="M168" s="13"/>
      <c r="N168" s="13"/>
      <c r="Q168" s="194" t="s">
        <v>267</v>
      </c>
      <c r="R168" s="216">
        <f>I19/1000</f>
        <v>0.38619999999999999</v>
      </c>
      <c r="S168" s="208">
        <f>J19/1000</f>
        <v>0.4153</v>
      </c>
      <c r="T168" s="208">
        <f>K19/1000</f>
        <v>0.44780000000000003</v>
      </c>
      <c r="U168" s="208">
        <f>L19/1000</f>
        <v>0.40561000000000003</v>
      </c>
      <c r="V168" s="208">
        <f>M19/1000</f>
        <v>0.35913600000000001</v>
      </c>
    </row>
    <row r="169" spans="1:24" x14ac:dyDescent="0.3">
      <c r="A169" s="5"/>
      <c r="B169" s="5"/>
      <c r="C169" s="5"/>
      <c r="D169" s="5"/>
      <c r="E169" s="5"/>
      <c r="F169" s="5"/>
      <c r="G169" s="5"/>
      <c r="H169" s="5"/>
      <c r="I169" s="5"/>
      <c r="J169" s="5"/>
      <c r="K169" s="5"/>
      <c r="L169" s="5"/>
      <c r="M169" s="5"/>
      <c r="N169" s="5"/>
      <c r="Q169" s="172" t="s">
        <v>275</v>
      </c>
      <c r="R169" s="217">
        <f>R167/R168</f>
        <v>38153.806317969967</v>
      </c>
      <c r="S169" s="218">
        <f t="shared" ref="S169" si="12">S167/S168</f>
        <v>41456.778232602941</v>
      </c>
      <c r="T169" s="218">
        <f t="shared" ref="T169" si="13">T167/T168</f>
        <v>45305.940151853501</v>
      </c>
      <c r="U169" s="218">
        <f t="shared" ref="U169" si="14">U167/U168</f>
        <v>47631.96173664357</v>
      </c>
      <c r="V169" s="218">
        <f t="shared" ref="V169" si="15">V167/V168</f>
        <v>47747.928361400693</v>
      </c>
    </row>
    <row r="170" spans="1:24" x14ac:dyDescent="0.3">
      <c r="A170" s="5"/>
      <c r="B170" s="5"/>
      <c r="C170" s="5"/>
      <c r="D170" s="5"/>
      <c r="E170" s="5"/>
      <c r="F170" s="5"/>
      <c r="G170" s="5"/>
      <c r="H170" s="5"/>
      <c r="I170" s="5"/>
      <c r="J170" s="5"/>
      <c r="K170" s="5"/>
      <c r="L170" s="5"/>
      <c r="M170" s="5"/>
      <c r="N170" s="5"/>
    </row>
    <row r="171" spans="1:24" x14ac:dyDescent="0.3">
      <c r="A171" s="5"/>
      <c r="B171" s="5"/>
      <c r="C171" s="5"/>
      <c r="D171" s="5"/>
      <c r="E171" s="5"/>
      <c r="F171" s="5"/>
      <c r="G171" s="5"/>
      <c r="H171" s="5"/>
      <c r="I171" s="5"/>
      <c r="J171" s="5"/>
      <c r="K171" s="5"/>
      <c r="L171" s="5"/>
      <c r="M171" s="5"/>
      <c r="N171" s="5"/>
    </row>
    <row r="172" spans="1:24" x14ac:dyDescent="0.3">
      <c r="A172" s="5"/>
      <c r="B172" s="5"/>
      <c r="C172" s="5"/>
      <c r="D172" s="5"/>
      <c r="E172" s="5"/>
      <c r="F172" s="5"/>
      <c r="G172" s="5"/>
      <c r="H172" s="5"/>
      <c r="I172" s="5"/>
      <c r="J172" s="5"/>
      <c r="K172" s="5"/>
      <c r="L172" s="5"/>
      <c r="M172" s="5"/>
      <c r="N172" s="5"/>
    </row>
    <row r="173" spans="1:24" x14ac:dyDescent="0.3">
      <c r="A173" s="5"/>
      <c r="B173" s="5"/>
      <c r="C173" s="5"/>
      <c r="D173" s="5"/>
      <c r="E173" s="5"/>
      <c r="F173" s="5"/>
      <c r="G173" s="5"/>
      <c r="H173" s="5"/>
      <c r="I173" s="5"/>
      <c r="J173" s="5"/>
      <c r="K173" s="5"/>
      <c r="L173" s="5"/>
      <c r="M173" s="5"/>
      <c r="N173" s="5"/>
    </row>
    <row r="174" spans="1:24" x14ac:dyDescent="0.3">
      <c r="A174" s="5"/>
      <c r="B174" s="5"/>
      <c r="C174" s="5"/>
      <c r="D174" s="5"/>
      <c r="E174" s="5"/>
      <c r="F174" s="5"/>
      <c r="G174" s="5"/>
      <c r="H174" s="5"/>
      <c r="I174" s="5"/>
      <c r="J174" s="5"/>
      <c r="K174" s="5"/>
      <c r="L174" s="5"/>
      <c r="M174" s="5"/>
      <c r="N174" s="5"/>
    </row>
    <row r="175" spans="1:24" x14ac:dyDescent="0.3">
      <c r="A175" s="5"/>
      <c r="B175" s="5"/>
      <c r="C175" s="5"/>
      <c r="D175" s="5"/>
      <c r="E175" s="5"/>
      <c r="F175" s="5"/>
      <c r="G175" s="5"/>
      <c r="H175" s="5"/>
      <c r="I175" s="5"/>
      <c r="J175" s="5"/>
      <c r="K175" s="5"/>
      <c r="L175" s="5"/>
      <c r="M175" s="5"/>
      <c r="N175" s="5"/>
    </row>
    <row r="176" spans="1:24" x14ac:dyDescent="0.3">
      <c r="A176" s="5"/>
      <c r="B176" s="5"/>
      <c r="C176" s="5"/>
      <c r="D176" s="5"/>
      <c r="E176" s="5"/>
      <c r="F176" s="5"/>
      <c r="G176" s="5"/>
      <c r="H176" s="5"/>
      <c r="I176" s="5"/>
      <c r="J176" s="5"/>
      <c r="K176" s="5"/>
      <c r="L176" s="5"/>
      <c r="M176" s="5"/>
      <c r="N176" s="5"/>
    </row>
    <row r="177" spans="1:14" x14ac:dyDescent="0.3">
      <c r="A177" s="5"/>
      <c r="B177" s="5"/>
      <c r="C177" s="5"/>
      <c r="D177" s="5"/>
      <c r="E177" s="5"/>
      <c r="F177" s="5"/>
      <c r="G177" s="5"/>
      <c r="H177" s="5"/>
      <c r="I177" s="5"/>
      <c r="J177" s="5"/>
      <c r="K177" s="5"/>
      <c r="L177" s="5"/>
      <c r="M177" s="5"/>
      <c r="N177" s="5"/>
    </row>
    <row r="178" spans="1:14" x14ac:dyDescent="0.3">
      <c r="A178" s="5"/>
      <c r="B178" s="5"/>
      <c r="C178" s="5"/>
      <c r="D178" s="5"/>
      <c r="E178" s="5"/>
      <c r="F178" s="5"/>
      <c r="G178" s="5"/>
      <c r="H178" s="5"/>
      <c r="I178" s="5"/>
      <c r="J178" s="5"/>
      <c r="K178" s="5"/>
      <c r="L178" s="5"/>
      <c r="M178" s="5"/>
      <c r="N178" s="5"/>
    </row>
    <row r="179" spans="1:14" x14ac:dyDescent="0.3">
      <c r="A179" s="5"/>
      <c r="B179" s="5"/>
      <c r="C179" s="5"/>
      <c r="D179" s="5"/>
      <c r="E179" s="5"/>
      <c r="F179" s="5"/>
      <c r="G179" s="5"/>
      <c r="H179" s="5"/>
      <c r="I179" s="5"/>
      <c r="J179" s="5"/>
      <c r="K179" s="5"/>
      <c r="L179" s="5"/>
      <c r="M179" s="5"/>
      <c r="N179" s="5"/>
    </row>
    <row r="180" spans="1:14" x14ac:dyDescent="0.3">
      <c r="A180" s="5"/>
      <c r="B180" s="5"/>
      <c r="C180" s="5"/>
      <c r="D180" s="5"/>
      <c r="E180" s="5"/>
      <c r="F180" s="5"/>
      <c r="G180" s="5"/>
      <c r="H180" s="5"/>
      <c r="I180" s="5"/>
      <c r="J180" s="5"/>
      <c r="K180" s="5"/>
      <c r="L180" s="5"/>
      <c r="M180" s="5"/>
      <c r="N180" s="5"/>
    </row>
    <row r="181" spans="1:14" x14ac:dyDescent="0.3">
      <c r="A181" s="5"/>
      <c r="B181" s="5"/>
      <c r="C181" s="5"/>
      <c r="D181" s="5"/>
      <c r="E181" s="5"/>
      <c r="F181" s="5"/>
      <c r="G181" s="5"/>
      <c r="H181" s="5"/>
      <c r="I181" s="5"/>
      <c r="J181" s="5"/>
      <c r="K181" s="5"/>
      <c r="L181" s="5"/>
      <c r="M181" s="5"/>
      <c r="N181" s="5"/>
    </row>
    <row r="182" spans="1:14" x14ac:dyDescent="0.3">
      <c r="A182" s="5"/>
      <c r="B182" s="5"/>
      <c r="C182" s="5"/>
      <c r="D182" s="5"/>
      <c r="E182" s="5"/>
      <c r="F182" s="5"/>
      <c r="G182" s="5"/>
      <c r="H182" s="5"/>
      <c r="I182" s="5"/>
      <c r="J182" s="5"/>
      <c r="K182" s="5"/>
      <c r="L182" s="5"/>
      <c r="M182" s="5"/>
      <c r="N182" s="5"/>
    </row>
    <row r="183" spans="1:14" x14ac:dyDescent="0.3">
      <c r="A183" s="5"/>
      <c r="B183" s="5"/>
      <c r="C183" s="5"/>
      <c r="D183" s="5"/>
      <c r="E183" s="5"/>
      <c r="F183" s="5"/>
      <c r="G183" s="5"/>
      <c r="H183" s="5"/>
      <c r="I183" s="5"/>
      <c r="J183" s="5"/>
      <c r="K183" s="5"/>
      <c r="L183" s="5"/>
      <c r="M183" s="5"/>
      <c r="N183" s="5"/>
    </row>
    <row r="184" spans="1:14" x14ac:dyDescent="0.3">
      <c r="A184" s="5"/>
      <c r="B184" s="5"/>
      <c r="C184" s="5"/>
      <c r="D184" s="5"/>
      <c r="E184" s="5"/>
      <c r="F184" s="5"/>
      <c r="G184" s="5"/>
      <c r="H184" s="5"/>
      <c r="I184" s="5"/>
      <c r="J184" s="5"/>
      <c r="K184" s="5"/>
      <c r="L184" s="5"/>
      <c r="M184" s="5"/>
      <c r="N184" s="5"/>
    </row>
    <row r="185" spans="1:14" x14ac:dyDescent="0.3">
      <c r="A185" s="5"/>
      <c r="B185" s="5"/>
      <c r="C185" s="5"/>
      <c r="D185" s="5"/>
      <c r="E185" s="5"/>
      <c r="F185" s="5"/>
      <c r="G185" s="5"/>
      <c r="H185" s="5"/>
      <c r="I185" s="5"/>
      <c r="J185" s="5"/>
      <c r="K185" s="5"/>
      <c r="L185" s="5"/>
      <c r="M185" s="5"/>
      <c r="N185" s="5"/>
    </row>
    <row r="186" spans="1:14" x14ac:dyDescent="0.3">
      <c r="A186" s="5"/>
      <c r="B186" s="119"/>
      <c r="C186" s="119"/>
      <c r="D186" s="119"/>
      <c r="E186" s="119"/>
      <c r="F186" s="119"/>
      <c r="G186" s="119"/>
      <c r="H186" s="119"/>
      <c r="I186" s="119"/>
      <c r="J186" s="119"/>
      <c r="K186" s="119"/>
      <c r="L186" s="119"/>
      <c r="M186" s="119"/>
      <c r="N186" s="119"/>
    </row>
    <row r="187" spans="1:14" x14ac:dyDescent="0.3">
      <c r="A187" s="5"/>
      <c r="B187" s="17"/>
      <c r="C187" s="17"/>
      <c r="D187" s="17"/>
      <c r="E187" s="17"/>
      <c r="F187" s="17"/>
      <c r="G187" s="17"/>
      <c r="H187" s="17"/>
      <c r="I187" s="17"/>
      <c r="J187" s="17"/>
      <c r="K187" s="17"/>
      <c r="L187" s="17"/>
      <c r="M187" s="17"/>
      <c r="N187" s="17"/>
    </row>
    <row r="188" spans="1:14" x14ac:dyDescent="0.3">
      <c r="A188" s="5" t="s">
        <v>29</v>
      </c>
      <c r="B188" s="106" t="s">
        <v>279</v>
      </c>
      <c r="C188" s="107"/>
      <c r="D188" s="107"/>
      <c r="E188" s="107"/>
      <c r="F188" s="107"/>
      <c r="G188" s="107"/>
      <c r="H188" s="107"/>
      <c r="I188" s="107"/>
      <c r="J188" s="107"/>
      <c r="K188" s="107"/>
      <c r="L188" s="107"/>
      <c r="M188" s="107"/>
      <c r="N188" s="107"/>
    </row>
    <row r="189" spans="1:14" x14ac:dyDescent="0.3">
      <c r="A189" s="5"/>
      <c r="B189" s="5"/>
      <c r="C189" s="5"/>
      <c r="D189" s="5"/>
      <c r="E189" s="5"/>
      <c r="F189" s="5"/>
      <c r="G189" s="5"/>
      <c r="H189" s="5"/>
      <c r="I189" s="5"/>
      <c r="J189" s="5"/>
      <c r="K189" s="5"/>
      <c r="L189" s="5"/>
      <c r="M189" s="5"/>
      <c r="N189" s="5"/>
    </row>
    <row r="190" spans="1:14" x14ac:dyDescent="0.3">
      <c r="A190" s="5"/>
      <c r="B190" s="5"/>
      <c r="C190" s="5"/>
      <c r="D190" s="5"/>
      <c r="E190" s="5"/>
      <c r="F190" s="5"/>
      <c r="G190" s="5"/>
      <c r="H190" s="5"/>
      <c r="I190" s="5"/>
      <c r="J190" s="5"/>
      <c r="K190" s="5"/>
      <c r="L190" s="5"/>
      <c r="M190" s="5"/>
      <c r="N190" s="5"/>
    </row>
    <row r="191" spans="1:14" x14ac:dyDescent="0.3">
      <c r="A191" s="5"/>
      <c r="B191" s="5"/>
      <c r="C191" s="5"/>
      <c r="D191" s="5"/>
      <c r="E191" s="5"/>
      <c r="F191" s="5"/>
      <c r="G191" s="5"/>
      <c r="H191" s="5"/>
      <c r="I191" s="5"/>
      <c r="J191" s="5"/>
      <c r="K191" s="5"/>
      <c r="L191" s="5"/>
      <c r="M191" s="5"/>
      <c r="N191" s="5"/>
    </row>
    <row r="192" spans="1:14" x14ac:dyDescent="0.3">
      <c r="A192" s="5"/>
      <c r="B192" s="5"/>
      <c r="C192" s="5"/>
      <c r="D192" s="5"/>
      <c r="E192" s="5"/>
      <c r="F192" s="5"/>
      <c r="G192" s="5"/>
      <c r="H192" s="5"/>
      <c r="I192" s="5"/>
      <c r="J192" s="5"/>
      <c r="K192" s="5"/>
      <c r="L192" s="5"/>
      <c r="M192" s="5"/>
      <c r="N192" s="5"/>
    </row>
    <row r="193" spans="1:19" x14ac:dyDescent="0.3">
      <c r="A193" s="5"/>
      <c r="B193" s="5"/>
      <c r="C193" s="5"/>
      <c r="D193" s="5"/>
      <c r="E193" s="5"/>
      <c r="F193" s="5"/>
      <c r="G193" s="5"/>
      <c r="H193" s="5"/>
      <c r="I193" s="5"/>
      <c r="J193" s="5"/>
      <c r="K193" s="5"/>
      <c r="L193" s="5"/>
      <c r="M193" s="5"/>
      <c r="N193" s="5"/>
    </row>
    <row r="194" spans="1:19" x14ac:dyDescent="0.3">
      <c r="A194" s="5"/>
      <c r="B194" s="5"/>
      <c r="C194" s="5"/>
      <c r="D194" s="5"/>
      <c r="E194" s="5"/>
      <c r="F194" s="5"/>
      <c r="G194" s="5"/>
      <c r="H194" s="5"/>
      <c r="I194" s="5"/>
      <c r="J194" s="5"/>
      <c r="K194" s="5"/>
      <c r="L194" s="5"/>
      <c r="M194" s="5"/>
      <c r="N194" s="5"/>
    </row>
    <row r="195" spans="1:19" x14ac:dyDescent="0.3">
      <c r="A195" s="5"/>
      <c r="B195" s="5"/>
      <c r="C195" s="5"/>
      <c r="D195" s="5"/>
      <c r="E195" s="5"/>
      <c r="F195" s="5"/>
      <c r="G195" s="5"/>
      <c r="H195" s="5"/>
      <c r="I195" s="5"/>
      <c r="J195" s="5"/>
      <c r="K195" s="5"/>
      <c r="L195" s="5"/>
      <c r="M195" s="5"/>
      <c r="N195" s="5"/>
    </row>
    <row r="196" spans="1:19" x14ac:dyDescent="0.3">
      <c r="A196" s="13"/>
      <c r="B196" s="13"/>
      <c r="C196" s="13"/>
      <c r="D196" s="5"/>
      <c r="E196" s="5"/>
      <c r="F196" s="5"/>
      <c r="G196" s="5"/>
      <c r="H196" s="5"/>
      <c r="I196" s="5"/>
      <c r="J196" s="5"/>
      <c r="K196" s="5"/>
      <c r="L196" s="5"/>
      <c r="M196" s="13"/>
      <c r="N196" s="13"/>
    </row>
    <row r="197" spans="1:19" x14ac:dyDescent="0.3">
      <c r="A197" s="13"/>
      <c r="B197" s="13"/>
      <c r="C197" s="13"/>
      <c r="D197" s="5"/>
      <c r="E197" s="5"/>
      <c r="F197" s="5"/>
      <c r="G197" s="5"/>
      <c r="H197" s="5"/>
      <c r="I197" s="5"/>
      <c r="J197" s="5"/>
      <c r="K197" s="5"/>
      <c r="L197" s="5"/>
      <c r="M197" s="13"/>
      <c r="N197" s="13"/>
    </row>
    <row r="198" spans="1:19" x14ac:dyDescent="0.3">
      <c r="A198" s="13"/>
      <c r="B198" s="13"/>
      <c r="C198" s="13"/>
      <c r="D198" s="5"/>
      <c r="E198" s="5"/>
      <c r="F198" s="5"/>
      <c r="G198" s="5"/>
      <c r="H198" s="5"/>
      <c r="I198" s="5"/>
      <c r="J198" s="5"/>
      <c r="K198" s="5"/>
      <c r="L198" s="5"/>
      <c r="M198" s="13"/>
      <c r="N198" s="13"/>
      <c r="S198" s="203"/>
    </row>
    <row r="199" spans="1:19" x14ac:dyDescent="0.3">
      <c r="A199" s="5"/>
      <c r="B199" s="5"/>
      <c r="C199" s="5"/>
      <c r="D199" s="5"/>
      <c r="E199" s="5"/>
      <c r="F199" s="5"/>
      <c r="G199" s="5"/>
      <c r="H199" s="5"/>
      <c r="I199" s="5"/>
      <c r="J199" s="5"/>
      <c r="K199" s="5"/>
      <c r="L199" s="5"/>
      <c r="M199" s="5"/>
      <c r="N199" s="5"/>
      <c r="S199" s="203"/>
    </row>
    <row r="200" spans="1:19" x14ac:dyDescent="0.3">
      <c r="A200" s="5"/>
      <c r="B200" s="5"/>
      <c r="C200" s="5"/>
      <c r="D200" s="5"/>
      <c r="E200" s="5"/>
      <c r="F200" s="5"/>
      <c r="G200" s="5"/>
      <c r="H200" s="5"/>
      <c r="I200" s="5"/>
      <c r="J200" s="5"/>
      <c r="K200" s="5"/>
      <c r="L200" s="5"/>
      <c r="M200" s="5"/>
      <c r="N200" s="5"/>
      <c r="S200" s="203"/>
    </row>
    <row r="201" spans="1:19" x14ac:dyDescent="0.3">
      <c r="A201" s="5"/>
      <c r="B201" s="5"/>
      <c r="C201" s="5"/>
      <c r="D201" s="5"/>
      <c r="E201" s="5"/>
      <c r="F201" s="5"/>
      <c r="G201" s="5"/>
      <c r="H201" s="5"/>
      <c r="I201" s="5"/>
      <c r="J201" s="5"/>
      <c r="K201" s="5"/>
      <c r="L201" s="5"/>
      <c r="M201" s="5"/>
      <c r="N201" s="5"/>
      <c r="S201" s="203"/>
    </row>
    <row r="202" spans="1:19" x14ac:dyDescent="0.3">
      <c r="A202" s="5"/>
      <c r="B202" s="5"/>
      <c r="C202" s="5"/>
      <c r="D202" s="5"/>
      <c r="E202" s="5"/>
      <c r="F202" s="5"/>
      <c r="G202" s="5"/>
      <c r="H202" s="5"/>
      <c r="I202" s="5"/>
      <c r="J202" s="5"/>
      <c r="K202" s="5"/>
      <c r="L202" s="5"/>
      <c r="M202" s="5"/>
      <c r="N202" s="5"/>
      <c r="S202" s="203"/>
    </row>
    <row r="203" spans="1:19" x14ac:dyDescent="0.3">
      <c r="A203" s="5"/>
      <c r="B203" s="5"/>
      <c r="C203" s="5"/>
      <c r="D203" s="5"/>
      <c r="E203" s="5"/>
      <c r="F203" s="5"/>
      <c r="G203" s="5"/>
      <c r="H203" s="5"/>
      <c r="I203" s="5"/>
      <c r="J203" s="5"/>
      <c r="K203" s="5"/>
      <c r="L203" s="5"/>
      <c r="M203" s="5"/>
      <c r="N203" s="5"/>
      <c r="S203" s="203"/>
    </row>
    <row r="204" spans="1:19" x14ac:dyDescent="0.3">
      <c r="A204" s="5"/>
      <c r="B204" s="5"/>
      <c r="C204" s="5"/>
      <c r="D204" s="5"/>
      <c r="E204" s="5"/>
      <c r="F204" s="5"/>
      <c r="G204" s="5"/>
      <c r="H204" s="5"/>
      <c r="I204" s="5"/>
      <c r="J204" s="5"/>
      <c r="K204" s="5"/>
      <c r="L204" s="5"/>
      <c r="M204" s="5"/>
      <c r="N204" s="5"/>
    </row>
    <row r="205" spans="1:19" x14ac:dyDescent="0.3">
      <c r="A205" s="5"/>
      <c r="B205" s="5"/>
      <c r="C205" s="5"/>
      <c r="D205" s="5"/>
      <c r="E205" s="5"/>
      <c r="F205" s="5"/>
      <c r="G205" s="5"/>
      <c r="H205" s="5"/>
      <c r="I205" s="5"/>
      <c r="J205" s="5"/>
      <c r="K205" s="5"/>
      <c r="L205" s="5"/>
      <c r="M205" s="5"/>
      <c r="N205" s="5"/>
    </row>
    <row r="206" spans="1:19" x14ac:dyDescent="0.3">
      <c r="A206" s="5"/>
      <c r="B206" s="5"/>
      <c r="C206" s="5"/>
      <c r="D206" s="5"/>
      <c r="E206" s="5"/>
      <c r="F206" s="5"/>
      <c r="G206" s="5"/>
      <c r="H206" s="5"/>
      <c r="I206" s="5"/>
      <c r="J206" s="5"/>
      <c r="K206" s="5"/>
      <c r="L206" s="5"/>
      <c r="M206" s="5"/>
      <c r="N206" s="5"/>
    </row>
    <row r="207" spans="1:19" x14ac:dyDescent="0.3">
      <c r="A207" s="5"/>
      <c r="B207" s="5"/>
      <c r="C207" s="5"/>
      <c r="D207" s="5"/>
      <c r="E207" s="5"/>
      <c r="F207" s="5"/>
      <c r="G207" s="5"/>
      <c r="H207" s="5"/>
      <c r="I207" s="5"/>
      <c r="J207" s="5"/>
      <c r="K207" s="5"/>
      <c r="L207" s="5"/>
      <c r="M207" s="5"/>
      <c r="N207" s="5"/>
    </row>
    <row r="208" spans="1:19" x14ac:dyDescent="0.3">
      <c r="A208" s="5"/>
      <c r="B208" s="5"/>
      <c r="C208" s="5"/>
      <c r="D208" s="5"/>
      <c r="E208" s="5"/>
      <c r="F208" s="5"/>
      <c r="G208" s="5"/>
      <c r="H208" s="5"/>
      <c r="I208" s="5"/>
      <c r="J208" s="5"/>
      <c r="K208" s="5"/>
      <c r="L208" s="5"/>
      <c r="M208" s="5"/>
      <c r="N208" s="5"/>
    </row>
    <row r="209" spans="1:14" x14ac:dyDescent="0.3">
      <c r="A209" s="5"/>
      <c r="B209" s="5"/>
      <c r="C209" s="5"/>
      <c r="D209" s="5"/>
      <c r="E209" s="5"/>
      <c r="F209" s="5"/>
      <c r="G209" s="5"/>
      <c r="H209" s="5"/>
      <c r="I209" s="5"/>
      <c r="J209" s="5"/>
      <c r="K209" s="5"/>
      <c r="L209" s="5"/>
      <c r="M209" s="5"/>
      <c r="N209" s="5"/>
    </row>
    <row r="210" spans="1:14" x14ac:dyDescent="0.3">
      <c r="A210" s="5"/>
      <c r="B210" s="5"/>
      <c r="C210" s="5"/>
      <c r="D210" s="5"/>
      <c r="E210" s="5"/>
      <c r="F210" s="5"/>
      <c r="G210" s="5"/>
      <c r="H210" s="5"/>
      <c r="I210" s="5"/>
      <c r="J210" s="5"/>
      <c r="K210" s="5"/>
      <c r="L210" s="5"/>
      <c r="M210" s="5"/>
      <c r="N210" s="5"/>
    </row>
    <row r="211" spans="1:14" x14ac:dyDescent="0.3">
      <c r="A211" s="5"/>
      <c r="B211" s="5"/>
      <c r="C211" s="5"/>
      <c r="D211" s="5"/>
      <c r="E211" s="5"/>
      <c r="F211" s="5"/>
      <c r="G211" s="5"/>
      <c r="H211" s="5"/>
      <c r="I211" s="5"/>
      <c r="J211" s="5"/>
      <c r="K211" s="5"/>
      <c r="L211" s="5"/>
      <c r="M211" s="5"/>
      <c r="N211" s="5"/>
    </row>
    <row r="212" spans="1:14" x14ac:dyDescent="0.3">
      <c r="A212" s="5"/>
      <c r="B212" s="5"/>
      <c r="C212" s="5"/>
      <c r="D212" s="5"/>
      <c r="E212" s="5"/>
      <c r="F212" s="5"/>
      <c r="G212" s="5"/>
      <c r="H212" s="5"/>
      <c r="I212" s="5"/>
      <c r="J212" s="5"/>
      <c r="K212" s="5"/>
      <c r="L212" s="5"/>
      <c r="M212" s="5"/>
      <c r="N212" s="5"/>
    </row>
    <row r="213" spans="1:14" x14ac:dyDescent="0.3">
      <c r="A213" s="5"/>
      <c r="B213" s="5"/>
      <c r="C213" s="5"/>
      <c r="D213" s="5"/>
      <c r="E213" s="5"/>
      <c r="F213" s="5"/>
      <c r="G213" s="5"/>
      <c r="H213" s="5"/>
      <c r="I213" s="5"/>
      <c r="J213" s="5"/>
      <c r="K213" s="5"/>
      <c r="L213" s="5"/>
      <c r="M213" s="5"/>
      <c r="N213" s="5"/>
    </row>
    <row r="214" spans="1:14" x14ac:dyDescent="0.3">
      <c r="A214" s="5"/>
      <c r="B214" s="5"/>
      <c r="C214" s="5"/>
      <c r="D214" s="5"/>
      <c r="E214" s="5"/>
      <c r="F214" s="5"/>
      <c r="G214" s="5"/>
      <c r="H214" s="5"/>
      <c r="I214" s="5"/>
      <c r="J214" s="5"/>
      <c r="K214" s="5"/>
      <c r="L214" s="5"/>
      <c r="M214" s="5"/>
      <c r="N214" s="5"/>
    </row>
    <row r="215" spans="1:14" x14ac:dyDescent="0.3">
      <c r="A215" s="5"/>
      <c r="B215" s="5"/>
      <c r="C215" s="5"/>
      <c r="D215" s="5"/>
      <c r="E215" s="5"/>
      <c r="F215" s="5"/>
      <c r="G215" s="5"/>
      <c r="H215" s="5"/>
      <c r="I215" s="5"/>
      <c r="J215" s="5"/>
      <c r="K215" s="5"/>
      <c r="L215" s="5"/>
      <c r="M215" s="5"/>
      <c r="N215" s="5"/>
    </row>
    <row r="216" spans="1:14" x14ac:dyDescent="0.3">
      <c r="A216" s="5"/>
      <c r="B216" s="119"/>
      <c r="C216" s="119"/>
      <c r="D216" s="119"/>
      <c r="E216" s="119"/>
      <c r="F216" s="119"/>
      <c r="G216" s="119"/>
      <c r="H216" s="119"/>
      <c r="I216" s="119"/>
      <c r="J216" s="119"/>
      <c r="K216" s="119"/>
      <c r="L216" s="119"/>
      <c r="M216" s="119"/>
      <c r="N216" s="119"/>
    </row>
    <row r="217" spans="1:14" x14ac:dyDescent="0.3">
      <c r="A217" s="5" t="s">
        <v>29</v>
      </c>
      <c r="B217" s="17"/>
      <c r="C217" s="17"/>
      <c r="D217" s="17"/>
      <c r="E217" s="17"/>
      <c r="F217" s="17"/>
      <c r="G217" s="17"/>
      <c r="H217" s="17"/>
      <c r="I217" s="17"/>
      <c r="J217" s="17"/>
      <c r="K217" s="17"/>
      <c r="L217" s="17"/>
      <c r="M217" s="17"/>
      <c r="N217" s="17"/>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0D41-B0B4-4CB9-A28C-D955C5718CE7}">
  <sheetPr>
    <outlinePr showOutlineSymbols="0"/>
    <pageSetUpPr autoPageBreaks="0"/>
  </sheetPr>
  <dimension ref="A1:V56"/>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5" width="9.140625" style="194"/>
    <col min="16" max="16" width="4.7109375" style="221" customWidth="1"/>
    <col min="17" max="16384" width="9.140625" style="194"/>
  </cols>
  <sheetData>
    <row r="1" spans="1:22" ht="6" customHeight="1" x14ac:dyDescent="0.3"/>
    <row r="2" spans="1:22" ht="39.950000000000003" customHeight="1" x14ac:dyDescent="0.3">
      <c r="B2" s="195"/>
      <c r="C2" s="195"/>
      <c r="D2" s="241" t="s">
        <v>28</v>
      </c>
      <c r="E2" s="195"/>
      <c r="F2" s="195"/>
      <c r="G2" s="195"/>
      <c r="H2" s="195"/>
      <c r="I2" s="196"/>
      <c r="J2" s="195"/>
      <c r="K2" s="195"/>
      <c r="L2" s="195"/>
      <c r="M2" s="195"/>
      <c r="N2" s="195"/>
    </row>
    <row r="4" spans="1:22" x14ac:dyDescent="0.3">
      <c r="A4" s="194" t="s">
        <v>29</v>
      </c>
      <c r="B4" s="197" t="s">
        <v>131</v>
      </c>
      <c r="C4" s="198"/>
      <c r="D4" s="198"/>
      <c r="E4" s="198"/>
      <c r="F4" s="198"/>
      <c r="G4" s="198"/>
      <c r="H4" s="198"/>
      <c r="I4" s="198"/>
      <c r="J4" s="198"/>
      <c r="K4" s="198"/>
      <c r="L4" s="198"/>
      <c r="M4" s="198"/>
      <c r="N4" s="198"/>
    </row>
    <row r="6" spans="1:22" ht="17.25" thickBot="1" x14ac:dyDescent="0.35">
      <c r="B6" s="240" t="s">
        <v>20</v>
      </c>
      <c r="H6" s="199"/>
      <c r="I6" s="200">
        <v>2021</v>
      </c>
      <c r="J6" s="200">
        <f>I6+1</f>
        <v>2022</v>
      </c>
      <c r="K6" s="200">
        <f t="shared" ref="K6:M6" si="0">J6+1</f>
        <v>2023</v>
      </c>
      <c r="L6" s="200">
        <f t="shared" si="0"/>
        <v>2024</v>
      </c>
      <c r="M6" s="200">
        <f t="shared" si="0"/>
        <v>2025</v>
      </c>
    </row>
    <row r="7" spans="1:22" x14ac:dyDescent="0.3">
      <c r="A7" s="13"/>
      <c r="B7" s="11"/>
      <c r="C7" s="12"/>
      <c r="D7" s="13"/>
      <c r="E7" s="13"/>
      <c r="F7" s="13"/>
      <c r="G7" s="13"/>
      <c r="H7" s="13"/>
      <c r="I7" s="13"/>
      <c r="J7" s="13"/>
      <c r="K7" s="13"/>
      <c r="L7" s="13"/>
      <c r="M7" s="13"/>
      <c r="N7" s="13"/>
    </row>
    <row r="8" spans="1:22" x14ac:dyDescent="0.3">
      <c r="A8" s="13"/>
      <c r="B8" s="25" t="s">
        <v>132</v>
      </c>
      <c r="C8" s="12"/>
      <c r="D8" s="13"/>
      <c r="E8" s="13"/>
      <c r="F8" s="13"/>
      <c r="G8" s="13"/>
      <c r="H8" s="102"/>
      <c r="I8" s="102"/>
      <c r="J8" s="102"/>
      <c r="K8" s="102"/>
      <c r="L8" s="102"/>
      <c r="M8" s="102"/>
      <c r="N8" s="102"/>
    </row>
    <row r="9" spans="1:22" s="133" customFormat="1" x14ac:dyDescent="0.3">
      <c r="A9" s="5"/>
      <c r="B9" s="21"/>
      <c r="C9" s="92" t="s">
        <v>140</v>
      </c>
      <c r="D9" s="5"/>
      <c r="E9" s="5"/>
      <c r="F9" s="5"/>
      <c r="G9" s="5"/>
      <c r="H9" s="27"/>
      <c r="I9" s="15">
        <v>63631</v>
      </c>
      <c r="J9" s="15">
        <v>58031</v>
      </c>
      <c r="K9" s="15">
        <v>62014</v>
      </c>
      <c r="L9" s="15">
        <v>59486</v>
      </c>
      <c r="M9" s="15">
        <v>55917</v>
      </c>
      <c r="N9" s="27"/>
      <c r="P9" s="222"/>
    </row>
    <row r="10" spans="1:22" x14ac:dyDescent="0.3">
      <c r="A10" s="13"/>
      <c r="B10" s="5"/>
      <c r="C10" s="13" t="s">
        <v>134</v>
      </c>
      <c r="E10" s="13"/>
      <c r="F10" s="5"/>
      <c r="G10" s="5"/>
      <c r="H10" s="27"/>
      <c r="I10" s="15">
        <v>133687</v>
      </c>
      <c r="J10" s="15">
        <v>132379</v>
      </c>
      <c r="K10" s="15">
        <v>135027</v>
      </c>
      <c r="L10" s="15">
        <v>138095</v>
      </c>
      <c r="M10" s="15">
        <v>128751</v>
      </c>
      <c r="N10" s="102"/>
    </row>
    <row r="11" spans="1:22" x14ac:dyDescent="0.3">
      <c r="A11" s="13"/>
      <c r="B11" s="5"/>
      <c r="C11" s="13" t="s">
        <v>135</v>
      </c>
      <c r="E11" s="13"/>
      <c r="F11" s="5"/>
      <c r="G11" s="5"/>
      <c r="H11" s="27"/>
      <c r="I11" s="15">
        <v>121966</v>
      </c>
      <c r="J11" s="15">
        <v>119386</v>
      </c>
      <c r="K11" s="15">
        <v>122416</v>
      </c>
      <c r="L11" s="15">
        <v>126197</v>
      </c>
      <c r="M11" s="15">
        <v>107938</v>
      </c>
      <c r="N11" s="102"/>
      <c r="O11" s="203"/>
    </row>
    <row r="12" spans="1:22" s="133" customFormat="1" x14ac:dyDescent="0.3">
      <c r="A12" s="5"/>
      <c r="B12" s="5"/>
      <c r="C12" s="13" t="s">
        <v>3</v>
      </c>
      <c r="E12" s="5"/>
      <c r="F12" s="5"/>
      <c r="G12" s="5"/>
      <c r="H12" s="27"/>
      <c r="I12" s="15">
        <v>3449</v>
      </c>
      <c r="J12" s="15">
        <v>2428</v>
      </c>
      <c r="K12" s="15">
        <v>1695</v>
      </c>
      <c r="L12" s="15">
        <v>1134</v>
      </c>
      <c r="M12" s="15">
        <v>1267</v>
      </c>
      <c r="N12" s="27"/>
      <c r="P12" s="222"/>
    </row>
    <row r="13" spans="1:22" s="133" customFormat="1" x14ac:dyDescent="0.3">
      <c r="A13" s="5"/>
      <c r="B13" s="5"/>
      <c r="C13" s="13" t="s">
        <v>136</v>
      </c>
      <c r="E13" s="5"/>
      <c r="F13" s="6"/>
      <c r="G13" s="5"/>
      <c r="H13" s="27"/>
      <c r="I13" s="116">
        <v>0.22</v>
      </c>
      <c r="J13" s="116">
        <v>0.16800000000000001</v>
      </c>
      <c r="K13" s="116">
        <v>0.123</v>
      </c>
      <c r="L13" s="116">
        <v>8.6999999999999994E-2</v>
      </c>
      <c r="M13" s="116">
        <v>9.7000000000000003E-2</v>
      </c>
      <c r="N13" s="27"/>
      <c r="P13" s="222"/>
    </row>
    <row r="14" spans="1:22" x14ac:dyDescent="0.3">
      <c r="A14" s="13"/>
      <c r="B14" s="5"/>
      <c r="C14" s="12"/>
      <c r="D14" s="13"/>
      <c r="E14" s="13"/>
      <c r="F14" s="5"/>
      <c r="G14" s="5"/>
      <c r="H14" s="27"/>
      <c r="I14" s="116"/>
      <c r="J14" s="116"/>
      <c r="K14" s="116"/>
      <c r="L14" s="116"/>
      <c r="M14" s="116"/>
      <c r="N14" s="102"/>
      <c r="R14" s="258"/>
      <c r="S14" s="258"/>
      <c r="T14" s="258"/>
      <c r="U14" s="258"/>
    </row>
    <row r="15" spans="1:22" s="133" customFormat="1" ht="18" x14ac:dyDescent="0.35">
      <c r="A15" s="5"/>
      <c r="B15" s="23"/>
      <c r="C15" s="12"/>
      <c r="D15" s="5"/>
      <c r="E15" s="5"/>
      <c r="F15" s="5"/>
      <c r="G15" s="5"/>
      <c r="H15" s="27"/>
      <c r="I15" s="15"/>
      <c r="J15" s="15"/>
      <c r="K15" s="15"/>
      <c r="L15" s="15"/>
      <c r="M15" s="15"/>
      <c r="N15" s="27"/>
      <c r="P15" s="222"/>
      <c r="R15" s="259"/>
      <c r="S15" s="194"/>
      <c r="T15" s="194"/>
      <c r="U15" s="194"/>
      <c r="V15" s="194"/>
    </row>
    <row r="16" spans="1:22" x14ac:dyDescent="0.3">
      <c r="A16" s="13"/>
      <c r="B16" s="25" t="s">
        <v>133</v>
      </c>
      <c r="C16" s="12"/>
      <c r="D16" s="13"/>
      <c r="E16" s="13"/>
      <c r="F16" s="5"/>
      <c r="G16" s="5"/>
      <c r="H16" s="27"/>
      <c r="I16" s="15"/>
      <c r="J16" s="15"/>
      <c r="K16" s="15"/>
      <c r="L16" s="15"/>
      <c r="M16" s="15"/>
      <c r="N16" s="102"/>
      <c r="R16" s="260"/>
      <c r="S16" s="258"/>
      <c r="T16" s="258"/>
      <c r="U16" s="258"/>
      <c r="V16" s="258"/>
    </row>
    <row r="17" spans="1:22" x14ac:dyDescent="0.3">
      <c r="A17" s="13"/>
      <c r="B17" s="23"/>
      <c r="C17" s="13" t="s">
        <v>211</v>
      </c>
      <c r="E17" s="13"/>
      <c r="F17" s="5"/>
      <c r="G17" s="5"/>
      <c r="H17" s="27"/>
      <c r="I17" s="261">
        <v>-112</v>
      </c>
      <c r="J17" s="261">
        <v>215</v>
      </c>
      <c r="K17" s="261">
        <v>358</v>
      </c>
      <c r="L17" s="261">
        <v>520</v>
      </c>
      <c r="M17" s="261">
        <v>685</v>
      </c>
      <c r="N17" s="102"/>
      <c r="R17" s="260"/>
      <c r="S17" s="258"/>
      <c r="T17" s="258"/>
      <c r="U17" s="258"/>
      <c r="V17" s="258"/>
    </row>
    <row r="18" spans="1:22" x14ac:dyDescent="0.3">
      <c r="A18" s="13"/>
      <c r="B18" s="23"/>
      <c r="C18" s="13" t="s">
        <v>180</v>
      </c>
      <c r="E18" s="13"/>
      <c r="F18" s="5"/>
      <c r="G18" s="5"/>
      <c r="H18" s="145"/>
      <c r="I18" s="262" t="s">
        <v>137</v>
      </c>
      <c r="J18" s="262" t="s">
        <v>137</v>
      </c>
      <c r="K18" s="262" t="s">
        <v>138</v>
      </c>
      <c r="L18" s="262" t="s">
        <v>139</v>
      </c>
      <c r="M18" s="262" t="s">
        <v>139</v>
      </c>
      <c r="N18" s="145"/>
      <c r="R18" s="260"/>
      <c r="S18" s="258"/>
      <c r="T18" s="258"/>
      <c r="U18" s="258"/>
      <c r="V18" s="258"/>
    </row>
    <row r="19" spans="1:22" x14ac:dyDescent="0.3">
      <c r="A19" s="13"/>
      <c r="B19" s="23"/>
      <c r="C19" s="12"/>
      <c r="D19" s="5"/>
      <c r="E19" s="5"/>
      <c r="F19" s="5"/>
      <c r="G19" s="5"/>
      <c r="H19" s="27"/>
      <c r="I19" s="116"/>
      <c r="J19" s="116"/>
      <c r="K19" s="116"/>
      <c r="L19" s="116"/>
      <c r="M19" s="116"/>
      <c r="N19" s="102"/>
    </row>
    <row r="20" spans="1:22" x14ac:dyDescent="0.3">
      <c r="A20" s="13"/>
      <c r="B20" s="5"/>
      <c r="C20" s="12"/>
      <c r="D20" s="5"/>
      <c r="E20" s="5"/>
      <c r="F20" s="6"/>
      <c r="G20" s="13"/>
      <c r="H20" s="102"/>
      <c r="I20" s="103"/>
      <c r="J20" s="103"/>
      <c r="K20" s="103"/>
      <c r="L20" s="103"/>
      <c r="M20" s="103"/>
      <c r="N20" s="102"/>
    </row>
    <row r="21" spans="1:22" s="133" customFormat="1" x14ac:dyDescent="0.3">
      <c r="A21" s="5"/>
      <c r="B21" s="263" t="s">
        <v>179</v>
      </c>
      <c r="C21" s="12"/>
      <c r="D21" s="13"/>
      <c r="E21" s="13"/>
      <c r="F21" s="5"/>
      <c r="G21" s="5"/>
      <c r="H21" s="27"/>
      <c r="I21" s="116"/>
      <c r="J21" s="116"/>
      <c r="K21" s="116"/>
      <c r="L21" s="116"/>
      <c r="M21" s="116"/>
      <c r="N21" s="27"/>
      <c r="P21" s="222"/>
    </row>
    <row r="22" spans="1:22" s="133" customFormat="1" x14ac:dyDescent="0.3">
      <c r="A22" s="5"/>
      <c r="B22" s="5"/>
      <c r="C22" s="5"/>
      <c r="D22" s="5"/>
      <c r="E22" s="5"/>
      <c r="F22" s="5"/>
      <c r="G22" s="5"/>
      <c r="H22" s="27"/>
      <c r="I22" s="15"/>
      <c r="J22" s="15"/>
      <c r="K22" s="15"/>
      <c r="L22" s="15"/>
      <c r="M22" s="15"/>
      <c r="N22" s="27"/>
      <c r="P22" s="222"/>
    </row>
    <row r="23" spans="1:22" s="133" customFormat="1" x14ac:dyDescent="0.3">
      <c r="A23" s="5"/>
      <c r="B23" s="21"/>
      <c r="C23" s="5"/>
      <c r="D23" s="5"/>
      <c r="E23" s="5"/>
      <c r="F23" s="5"/>
      <c r="G23" s="5"/>
      <c r="H23" s="27"/>
      <c r="I23" s="30"/>
      <c r="J23" s="30"/>
      <c r="K23" s="30"/>
      <c r="L23" s="30"/>
      <c r="M23" s="30"/>
      <c r="N23" s="27"/>
      <c r="P23" s="222"/>
    </row>
    <row r="24" spans="1:22" x14ac:dyDescent="0.3">
      <c r="A24" s="13"/>
      <c r="B24" s="5"/>
      <c r="C24" s="13"/>
      <c r="D24" s="13"/>
      <c r="E24" s="13"/>
      <c r="F24" s="13"/>
      <c r="G24" s="13"/>
      <c r="H24" s="13"/>
      <c r="I24" s="13"/>
      <c r="J24" s="13"/>
      <c r="K24" s="13"/>
      <c r="L24" s="13"/>
      <c r="M24" s="13"/>
      <c r="N24" s="5"/>
    </row>
    <row r="25" spans="1:22" x14ac:dyDescent="0.3">
      <c r="A25" s="5"/>
      <c r="B25" s="119"/>
      <c r="C25" s="119"/>
      <c r="D25" s="119"/>
      <c r="E25" s="119"/>
      <c r="F25" s="119"/>
      <c r="G25" s="119"/>
      <c r="H25" s="119"/>
      <c r="I25" s="119"/>
      <c r="J25" s="119"/>
      <c r="K25" s="119"/>
      <c r="L25" s="119"/>
      <c r="M25" s="119"/>
      <c r="N25" s="119"/>
    </row>
    <row r="26" spans="1:22" x14ac:dyDescent="0.3">
      <c r="A26" s="5"/>
      <c r="B26" s="17"/>
      <c r="C26" s="17"/>
      <c r="D26" s="17"/>
      <c r="E26" s="17"/>
      <c r="F26" s="17"/>
      <c r="G26" s="17"/>
      <c r="H26" s="17"/>
      <c r="I26" s="17"/>
      <c r="J26" s="17"/>
      <c r="K26" s="17"/>
      <c r="L26" s="17"/>
      <c r="M26" s="17"/>
      <c r="N26" s="17"/>
    </row>
    <row r="27" spans="1:22" x14ac:dyDescent="0.3">
      <c r="A27" s="5" t="s">
        <v>29</v>
      </c>
      <c r="B27" s="106" t="s">
        <v>278</v>
      </c>
      <c r="C27" s="107"/>
      <c r="D27" s="107"/>
      <c r="E27" s="107"/>
      <c r="F27" s="107"/>
      <c r="G27" s="107"/>
      <c r="H27" s="107"/>
      <c r="I27" s="107"/>
      <c r="J27" s="107"/>
      <c r="K27" s="107"/>
      <c r="L27" s="107"/>
      <c r="M27" s="107"/>
      <c r="N27" s="107"/>
    </row>
    <row r="28" spans="1:22" x14ac:dyDescent="0.3">
      <c r="A28" s="5"/>
      <c r="B28" s="5"/>
      <c r="C28" s="5"/>
      <c r="D28" s="5"/>
      <c r="E28" s="5"/>
      <c r="F28" s="5"/>
      <c r="G28" s="5"/>
      <c r="H28" s="5"/>
      <c r="I28" s="5"/>
      <c r="J28" s="5"/>
      <c r="K28" s="5"/>
      <c r="L28" s="5"/>
      <c r="M28" s="5"/>
      <c r="N28" s="5"/>
    </row>
    <row r="29" spans="1:22" x14ac:dyDescent="0.3">
      <c r="A29" s="5"/>
      <c r="B29" s="5"/>
      <c r="C29" s="5"/>
      <c r="D29" s="180"/>
      <c r="E29" s="17"/>
      <c r="F29" s="17"/>
      <c r="G29" s="17"/>
      <c r="H29" s="17"/>
      <c r="I29" s="17"/>
      <c r="J29" s="17"/>
      <c r="K29" s="17"/>
      <c r="L29" s="206"/>
      <c r="M29" s="5"/>
      <c r="N29" s="5"/>
    </row>
    <row r="30" spans="1:22" x14ac:dyDescent="0.3">
      <c r="A30" s="5"/>
      <c r="B30" s="5"/>
      <c r="C30" s="5"/>
      <c r="D30" s="174"/>
      <c r="E30" s="5"/>
      <c r="F30" s="5"/>
      <c r="G30" s="5"/>
      <c r="H30" s="5"/>
      <c r="I30" s="5"/>
      <c r="J30" s="5"/>
      <c r="K30" s="5"/>
      <c r="L30" s="173"/>
      <c r="M30" s="5"/>
      <c r="N30" s="5"/>
    </row>
    <row r="31" spans="1:22" x14ac:dyDescent="0.3">
      <c r="A31" s="5"/>
      <c r="B31" s="5"/>
      <c r="C31" s="5"/>
      <c r="D31" s="174"/>
      <c r="E31" s="5"/>
      <c r="F31" s="5"/>
      <c r="G31" s="5"/>
      <c r="H31" s="5"/>
      <c r="I31" s="5"/>
      <c r="J31" s="5"/>
      <c r="K31" s="5"/>
      <c r="L31" s="173"/>
      <c r="M31" s="5"/>
      <c r="N31" s="5"/>
    </row>
    <row r="32" spans="1:22" x14ac:dyDescent="0.3">
      <c r="A32" s="5"/>
      <c r="B32" s="5"/>
      <c r="C32" s="5"/>
      <c r="D32" s="174"/>
      <c r="E32" s="5"/>
      <c r="F32" s="5"/>
      <c r="G32" s="5"/>
      <c r="H32" s="5"/>
      <c r="I32" s="5"/>
      <c r="J32" s="5"/>
      <c r="K32" s="5"/>
      <c r="L32" s="173"/>
      <c r="M32" s="5"/>
      <c r="N32" s="5"/>
    </row>
    <row r="33" spans="1:14" x14ac:dyDescent="0.3">
      <c r="A33" s="5"/>
      <c r="B33" s="5"/>
      <c r="C33" s="5"/>
      <c r="D33" s="174"/>
      <c r="E33" s="5"/>
      <c r="F33" s="5"/>
      <c r="G33" s="5"/>
      <c r="H33" s="5"/>
      <c r="I33" s="5"/>
      <c r="J33" s="5"/>
      <c r="K33" s="5"/>
      <c r="L33" s="173"/>
      <c r="M33" s="5"/>
      <c r="N33" s="5"/>
    </row>
    <row r="34" spans="1:14" x14ac:dyDescent="0.3">
      <c r="A34" s="5"/>
      <c r="B34" s="5"/>
      <c r="C34" s="5"/>
      <c r="D34" s="174"/>
      <c r="E34" s="5"/>
      <c r="F34" s="5"/>
      <c r="G34" s="5"/>
      <c r="H34" s="5"/>
      <c r="I34" s="5"/>
      <c r="J34" s="5"/>
      <c r="K34" s="5"/>
      <c r="L34" s="173"/>
      <c r="M34" s="5"/>
      <c r="N34" s="5"/>
    </row>
    <row r="35" spans="1:14" x14ac:dyDescent="0.3">
      <c r="A35" s="13"/>
      <c r="B35" s="13"/>
      <c r="C35" s="13"/>
      <c r="D35" s="174"/>
      <c r="E35" s="5"/>
      <c r="F35" s="5"/>
      <c r="G35" s="5"/>
      <c r="H35" s="5"/>
      <c r="I35" s="5"/>
      <c r="J35" s="5"/>
      <c r="K35" s="5"/>
      <c r="L35" s="173"/>
      <c r="M35" s="13"/>
      <c r="N35" s="13"/>
    </row>
    <row r="36" spans="1:14" x14ac:dyDescent="0.3">
      <c r="A36" s="13"/>
      <c r="B36" s="13"/>
      <c r="C36" s="13"/>
      <c r="D36" s="174"/>
      <c r="E36" s="5"/>
      <c r="F36" s="5"/>
      <c r="G36" s="5"/>
      <c r="H36" s="5"/>
      <c r="I36" s="5"/>
      <c r="J36" s="5"/>
      <c r="K36" s="5"/>
      <c r="L36" s="173"/>
      <c r="M36" s="13"/>
      <c r="N36" s="13"/>
    </row>
    <row r="37" spans="1:14" x14ac:dyDescent="0.3">
      <c r="A37" s="13"/>
      <c r="B37" s="13"/>
      <c r="C37" s="13"/>
      <c r="D37" s="174"/>
      <c r="E37" s="5"/>
      <c r="F37" s="5"/>
      <c r="G37" s="5"/>
      <c r="H37" s="5"/>
      <c r="I37" s="5"/>
      <c r="J37" s="5"/>
      <c r="K37" s="5"/>
      <c r="L37" s="173"/>
      <c r="M37" s="13"/>
      <c r="N37" s="13"/>
    </row>
    <row r="38" spans="1:14" x14ac:dyDescent="0.3">
      <c r="A38" s="5"/>
      <c r="B38" s="5"/>
      <c r="C38" s="5"/>
      <c r="D38" s="174"/>
      <c r="E38" s="5"/>
      <c r="F38" s="5"/>
      <c r="G38" s="5"/>
      <c r="H38" s="5"/>
      <c r="I38" s="5"/>
      <c r="J38" s="5"/>
      <c r="K38" s="5"/>
      <c r="L38" s="173"/>
      <c r="M38" s="5"/>
      <c r="N38" s="5"/>
    </row>
    <row r="39" spans="1:14" x14ac:dyDescent="0.3">
      <c r="A39" s="5"/>
      <c r="B39" s="5"/>
      <c r="C39" s="5"/>
      <c r="D39" s="174"/>
      <c r="E39" s="5"/>
      <c r="F39" s="5"/>
      <c r="G39" s="5"/>
      <c r="H39" s="5"/>
      <c r="I39" s="5"/>
      <c r="J39" s="5"/>
      <c r="K39" s="5"/>
      <c r="L39" s="173"/>
      <c r="M39" s="5"/>
      <c r="N39" s="5"/>
    </row>
    <row r="40" spans="1:14" x14ac:dyDescent="0.3">
      <c r="A40" s="5"/>
      <c r="B40" s="5"/>
      <c r="C40" s="5"/>
      <c r="D40" s="174"/>
      <c r="E40" s="5"/>
      <c r="F40" s="5"/>
      <c r="G40" s="5"/>
      <c r="H40" s="5"/>
      <c r="I40" s="5"/>
      <c r="J40" s="5"/>
      <c r="K40" s="5"/>
      <c r="L40" s="173"/>
      <c r="M40" s="5"/>
      <c r="N40" s="5"/>
    </row>
    <row r="41" spans="1:14" x14ac:dyDescent="0.3">
      <c r="A41" s="5"/>
      <c r="B41" s="5"/>
      <c r="C41" s="5"/>
      <c r="D41" s="174"/>
      <c r="E41" s="5"/>
      <c r="F41" s="5"/>
      <c r="G41" s="5"/>
      <c r="H41" s="5"/>
      <c r="I41" s="5"/>
      <c r="J41" s="5"/>
      <c r="K41" s="5"/>
      <c r="L41" s="173"/>
      <c r="M41" s="5"/>
      <c r="N41" s="5"/>
    </row>
    <row r="42" spans="1:14" x14ac:dyDescent="0.3">
      <c r="A42" s="5"/>
      <c r="B42" s="5"/>
      <c r="C42" s="5"/>
      <c r="D42" s="174"/>
      <c r="E42" s="5"/>
      <c r="F42" s="5"/>
      <c r="G42" s="5"/>
      <c r="H42" s="5"/>
      <c r="I42" s="5"/>
      <c r="J42" s="5"/>
      <c r="K42" s="5"/>
      <c r="L42" s="173"/>
      <c r="M42" s="5"/>
      <c r="N42" s="5"/>
    </row>
    <row r="43" spans="1:14" x14ac:dyDescent="0.3">
      <c r="A43" s="5"/>
      <c r="B43" s="5"/>
      <c r="C43" s="5"/>
      <c r="D43" s="174"/>
      <c r="E43" s="5"/>
      <c r="F43" s="5"/>
      <c r="G43" s="5"/>
      <c r="H43" s="5"/>
      <c r="I43" s="5"/>
      <c r="J43" s="5"/>
      <c r="K43" s="5"/>
      <c r="L43" s="173"/>
      <c r="M43" s="5"/>
      <c r="N43" s="5"/>
    </row>
    <row r="44" spans="1:14" x14ac:dyDescent="0.3">
      <c r="A44" s="5"/>
      <c r="B44" s="5"/>
      <c r="C44" s="5"/>
      <c r="D44" s="174"/>
      <c r="E44" s="5"/>
      <c r="F44" s="5"/>
      <c r="G44" s="5"/>
      <c r="H44" s="5"/>
      <c r="I44" s="5"/>
      <c r="J44" s="5"/>
      <c r="K44" s="5"/>
      <c r="L44" s="173"/>
      <c r="M44" s="5"/>
      <c r="N44" s="5"/>
    </row>
    <row r="45" spans="1:14" x14ac:dyDescent="0.3">
      <c r="A45" s="5"/>
      <c r="B45" s="5"/>
      <c r="C45" s="5"/>
      <c r="D45" s="174"/>
      <c r="E45" s="5"/>
      <c r="F45" s="5"/>
      <c r="G45" s="5"/>
      <c r="H45" s="5"/>
      <c r="I45" s="5"/>
      <c r="J45" s="5"/>
      <c r="K45" s="5"/>
      <c r="L45" s="173"/>
      <c r="M45" s="5"/>
      <c r="N45" s="5"/>
    </row>
    <row r="46" spans="1:14" x14ac:dyDescent="0.3">
      <c r="A46" s="5"/>
      <c r="B46" s="5"/>
      <c r="C46" s="5"/>
      <c r="D46" s="174"/>
      <c r="E46" s="5"/>
      <c r="F46" s="5"/>
      <c r="G46" s="5"/>
      <c r="H46" s="5"/>
      <c r="I46" s="5"/>
      <c r="J46" s="5"/>
      <c r="K46" s="5"/>
      <c r="L46" s="173"/>
      <c r="M46" s="5"/>
      <c r="N46" s="5"/>
    </row>
    <row r="47" spans="1:14" x14ac:dyDescent="0.3">
      <c r="A47" s="5"/>
      <c r="B47" s="5"/>
      <c r="C47" s="5"/>
      <c r="D47" s="174"/>
      <c r="E47" s="5"/>
      <c r="F47" s="5"/>
      <c r="G47" s="5"/>
      <c r="H47" s="5"/>
      <c r="I47" s="5"/>
      <c r="J47" s="5"/>
      <c r="K47" s="5"/>
      <c r="L47" s="173"/>
      <c r="M47" s="5"/>
      <c r="N47" s="5"/>
    </row>
    <row r="48" spans="1:14" x14ac:dyDescent="0.3">
      <c r="A48" s="5"/>
      <c r="B48" s="5"/>
      <c r="C48" s="5"/>
      <c r="D48" s="174"/>
      <c r="E48" s="5"/>
      <c r="F48" s="5"/>
      <c r="G48" s="5"/>
      <c r="H48" s="5"/>
      <c r="I48" s="5"/>
      <c r="J48" s="5"/>
      <c r="K48" s="5"/>
      <c r="L48" s="173"/>
      <c r="M48" s="5"/>
      <c r="N48" s="5"/>
    </row>
    <row r="49" spans="1:14" x14ac:dyDescent="0.3">
      <c r="A49" s="5"/>
      <c r="B49" s="5"/>
      <c r="C49" s="5"/>
      <c r="D49" s="174"/>
      <c r="E49" s="5"/>
      <c r="F49" s="5"/>
      <c r="G49" s="5"/>
      <c r="H49" s="5"/>
      <c r="I49" s="5"/>
      <c r="J49" s="5"/>
      <c r="K49" s="5"/>
      <c r="L49" s="173"/>
      <c r="M49" s="5"/>
      <c r="N49" s="5"/>
    </row>
    <row r="50" spans="1:14" x14ac:dyDescent="0.3">
      <c r="A50" s="5"/>
      <c r="B50" s="5"/>
      <c r="C50" s="5"/>
      <c r="D50" s="174"/>
      <c r="E50" s="5"/>
      <c r="F50" s="5"/>
      <c r="G50" s="5"/>
      <c r="H50" s="5"/>
      <c r="I50" s="5"/>
      <c r="J50" s="5"/>
      <c r="K50" s="5"/>
      <c r="L50" s="173"/>
      <c r="M50" s="5"/>
      <c r="N50" s="5"/>
    </row>
    <row r="51" spans="1:14" x14ac:dyDescent="0.3">
      <c r="A51" s="5"/>
      <c r="B51" s="5"/>
      <c r="C51" s="5"/>
      <c r="D51" s="174"/>
      <c r="E51" s="5"/>
      <c r="F51" s="5"/>
      <c r="G51" s="5"/>
      <c r="H51" s="5"/>
      <c r="I51" s="5"/>
      <c r="J51" s="5"/>
      <c r="K51" s="5"/>
      <c r="L51" s="173"/>
      <c r="M51" s="5"/>
      <c r="N51" s="5"/>
    </row>
    <row r="52" spans="1:14" x14ac:dyDescent="0.3">
      <c r="A52" s="5"/>
      <c r="B52" s="5"/>
      <c r="C52" s="5"/>
      <c r="D52" s="174"/>
      <c r="E52" s="5"/>
      <c r="F52" s="5"/>
      <c r="G52" s="5"/>
      <c r="H52" s="5"/>
      <c r="I52" s="5"/>
      <c r="J52" s="5"/>
      <c r="K52" s="5"/>
      <c r="L52" s="173"/>
      <c r="M52" s="5"/>
      <c r="N52" s="5"/>
    </row>
    <row r="53" spans="1:14" x14ac:dyDescent="0.3">
      <c r="A53" s="5"/>
      <c r="B53" s="5"/>
      <c r="C53" s="5"/>
      <c r="D53" s="174"/>
      <c r="E53" s="5"/>
      <c r="F53" s="5"/>
      <c r="G53" s="5"/>
      <c r="H53" s="5"/>
      <c r="I53" s="5"/>
      <c r="J53" s="5"/>
      <c r="K53" s="5"/>
      <c r="L53" s="173"/>
      <c r="M53" s="5"/>
      <c r="N53" s="5"/>
    </row>
    <row r="54" spans="1:14" x14ac:dyDescent="0.3">
      <c r="A54" s="5"/>
      <c r="B54" s="5"/>
      <c r="C54" s="5"/>
      <c r="D54" s="165"/>
      <c r="E54" s="119"/>
      <c r="F54" s="119"/>
      <c r="G54" s="119"/>
      <c r="H54" s="119"/>
      <c r="I54" s="119"/>
      <c r="J54" s="119"/>
      <c r="K54" s="119"/>
      <c r="L54" s="164"/>
      <c r="M54" s="5"/>
      <c r="N54" s="5"/>
    </row>
    <row r="55" spans="1:14" x14ac:dyDescent="0.3">
      <c r="A55" s="5"/>
      <c r="B55" s="119"/>
      <c r="C55" s="119"/>
      <c r="D55" s="119"/>
      <c r="E55" s="119"/>
      <c r="F55" s="119"/>
      <c r="G55" s="119"/>
      <c r="H55" s="119"/>
      <c r="I55" s="119"/>
      <c r="J55" s="119"/>
      <c r="K55" s="119"/>
      <c r="L55" s="119"/>
      <c r="M55" s="119"/>
      <c r="N55" s="119"/>
    </row>
    <row r="56" spans="1:14" x14ac:dyDescent="0.3">
      <c r="A56" s="194" t="s">
        <v>29</v>
      </c>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1212-C742-407D-8354-FC69270E0738}">
  <sheetPr>
    <outlinePr showOutlineSymbols="0"/>
    <pageSetUpPr autoPageBreaks="0"/>
  </sheetPr>
  <dimension ref="A1:V73"/>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5" width="9.140625" style="194"/>
    <col min="16" max="16" width="4.7109375" style="221" customWidth="1"/>
    <col min="17" max="16384" width="9.140625" style="194"/>
  </cols>
  <sheetData>
    <row r="1" spans="1:16" ht="6" customHeight="1" x14ac:dyDescent="0.3">
      <c r="A1" s="13"/>
      <c r="B1" s="13"/>
      <c r="C1" s="13"/>
      <c r="D1" s="13"/>
      <c r="E1" s="13"/>
      <c r="F1" s="13"/>
      <c r="G1" s="13"/>
      <c r="H1" s="13"/>
      <c r="I1" s="13"/>
      <c r="J1" s="13"/>
      <c r="K1" s="13"/>
      <c r="L1" s="13"/>
      <c r="M1" s="13"/>
      <c r="N1" s="13"/>
    </row>
    <row r="2" spans="1:16" ht="39.950000000000003" customHeight="1" x14ac:dyDescent="0.3">
      <c r="A2" s="13"/>
      <c r="B2" s="104"/>
      <c r="C2" s="104"/>
      <c r="D2" s="241" t="s">
        <v>28</v>
      </c>
      <c r="E2" s="104"/>
      <c r="F2" s="104"/>
      <c r="G2" s="104"/>
      <c r="H2" s="104"/>
      <c r="I2" s="105"/>
      <c r="J2" s="104"/>
      <c r="K2" s="104"/>
      <c r="L2" s="104"/>
      <c r="M2" s="104"/>
      <c r="N2" s="104"/>
    </row>
    <row r="3" spans="1:16" x14ac:dyDescent="0.3">
      <c r="A3" s="13"/>
      <c r="B3" s="13"/>
      <c r="C3" s="13"/>
      <c r="D3" s="13"/>
      <c r="E3" s="13"/>
      <c r="F3" s="13"/>
      <c r="G3" s="13"/>
      <c r="H3" s="13"/>
      <c r="I3" s="13"/>
      <c r="J3" s="13"/>
      <c r="K3" s="13"/>
      <c r="L3" s="13"/>
      <c r="M3" s="13"/>
      <c r="N3" s="13"/>
    </row>
    <row r="4" spans="1:16" x14ac:dyDescent="0.3">
      <c r="A4" s="13" t="s">
        <v>29</v>
      </c>
      <c r="B4" s="106" t="s">
        <v>141</v>
      </c>
      <c r="C4" s="107"/>
      <c r="D4" s="107"/>
      <c r="E4" s="107"/>
      <c r="F4" s="107"/>
      <c r="G4" s="107"/>
      <c r="H4" s="107"/>
      <c r="I4" s="107"/>
      <c r="J4" s="107"/>
      <c r="K4" s="107"/>
      <c r="L4" s="107"/>
      <c r="M4" s="107"/>
      <c r="N4" s="107"/>
    </row>
    <row r="5" spans="1:16" x14ac:dyDescent="0.3">
      <c r="A5" s="13"/>
      <c r="B5" s="13"/>
      <c r="C5" s="13"/>
      <c r="D5" s="13"/>
      <c r="E5" s="13"/>
      <c r="F5" s="13"/>
      <c r="G5" s="13"/>
      <c r="H5" s="13"/>
      <c r="I5" s="13"/>
      <c r="J5" s="13"/>
      <c r="K5" s="13"/>
      <c r="L5" s="13"/>
      <c r="M5" s="13"/>
      <c r="N5" s="13"/>
    </row>
    <row r="6" spans="1:16" ht="17.25" thickBot="1" x14ac:dyDescent="0.35">
      <c r="A6" s="13"/>
      <c r="B6" s="240" t="s">
        <v>20</v>
      </c>
      <c r="C6" s="13"/>
      <c r="D6" s="13"/>
      <c r="E6" s="13"/>
      <c r="F6" s="13"/>
      <c r="G6" s="13"/>
      <c r="H6" s="109"/>
      <c r="I6" s="200">
        <v>2021</v>
      </c>
      <c r="J6" s="200">
        <f>I6+1</f>
        <v>2022</v>
      </c>
      <c r="K6" s="200">
        <f t="shared" ref="K6:M6" si="0">J6+1</f>
        <v>2023</v>
      </c>
      <c r="L6" s="200">
        <f t="shared" si="0"/>
        <v>2024</v>
      </c>
      <c r="M6" s="200">
        <f t="shared" si="0"/>
        <v>2025</v>
      </c>
      <c r="N6" s="13"/>
    </row>
    <row r="7" spans="1:16" x14ac:dyDescent="0.3">
      <c r="A7" s="13"/>
      <c r="B7" s="11"/>
      <c r="C7" s="12"/>
      <c r="D7" s="13"/>
      <c r="E7" s="13"/>
      <c r="F7" s="13"/>
      <c r="G7" s="13"/>
      <c r="H7" s="13"/>
      <c r="I7" s="13"/>
      <c r="J7" s="13"/>
      <c r="K7" s="13"/>
      <c r="L7" s="13"/>
      <c r="M7" s="13"/>
      <c r="N7" s="13"/>
    </row>
    <row r="8" spans="1:16" s="133" customFormat="1" x14ac:dyDescent="0.3">
      <c r="A8" s="5"/>
      <c r="B8" s="21" t="s">
        <v>172</v>
      </c>
      <c r="C8" s="92"/>
      <c r="D8" s="5"/>
      <c r="E8" s="5"/>
      <c r="F8" s="5"/>
      <c r="G8" s="5"/>
      <c r="H8" s="27"/>
      <c r="I8" s="15"/>
      <c r="J8" s="15"/>
      <c r="K8" s="15"/>
      <c r="L8" s="15"/>
      <c r="M8" s="15"/>
      <c r="N8" s="27"/>
      <c r="P8" s="222"/>
    </row>
    <row r="9" spans="1:16" s="133" customFormat="1" x14ac:dyDescent="0.3">
      <c r="A9" s="5"/>
      <c r="B9" s="5"/>
      <c r="C9" s="5" t="s">
        <v>148</v>
      </c>
      <c r="D9" s="21"/>
      <c r="E9" s="21"/>
      <c r="F9" s="21"/>
      <c r="G9" s="21"/>
      <c r="H9" s="93"/>
      <c r="I9" s="30">
        <f>'Statement of Income'!I9</f>
        <v>133893</v>
      </c>
      <c r="J9" s="30">
        <f>'Statement of Income'!J9</f>
        <v>150017</v>
      </c>
      <c r="K9" s="30">
        <f>'Statement of Income'!K9</f>
        <v>152390</v>
      </c>
      <c r="L9" s="30">
        <f>'Statement of Income'!L9</f>
        <v>145594</v>
      </c>
      <c r="M9" s="30">
        <f>'Statement of Income'!M9</f>
        <v>132214</v>
      </c>
      <c r="N9" s="27"/>
      <c r="P9" s="222"/>
    </row>
    <row r="10" spans="1:16" s="133" customFormat="1" x14ac:dyDescent="0.3">
      <c r="A10" s="5"/>
      <c r="B10" s="21"/>
      <c r="C10" s="86"/>
      <c r="D10" s="21"/>
      <c r="E10" s="21"/>
      <c r="F10" s="21"/>
      <c r="G10" s="21"/>
      <c r="H10" s="93"/>
      <c r="I10" s="30"/>
      <c r="J10" s="30"/>
      <c r="K10" s="30"/>
      <c r="L10" s="30"/>
      <c r="M10" s="30"/>
      <c r="N10" s="27"/>
      <c r="P10" s="222"/>
    </row>
    <row r="11" spans="1:16" s="133" customFormat="1" x14ac:dyDescent="0.3">
      <c r="A11" s="5"/>
      <c r="B11" s="5"/>
      <c r="C11" s="13" t="s">
        <v>145</v>
      </c>
      <c r="D11" s="5"/>
      <c r="E11" s="5"/>
      <c r="F11" s="5"/>
      <c r="G11" s="5"/>
      <c r="H11" s="27"/>
      <c r="I11" s="32">
        <f>-'Statement of Cash Flows'!I23</f>
        <v>4579</v>
      </c>
      <c r="J11" s="32">
        <f>-'Statement of Cash Flows'!J23</f>
        <v>3481</v>
      </c>
      <c r="K11" s="32">
        <f>-'Statement of Cash Flows'!K23</f>
        <v>3745</v>
      </c>
      <c r="L11" s="32">
        <f>-'Statement of Cash Flows'!L23</f>
        <v>4039</v>
      </c>
      <c r="M11" s="32">
        <f>-'Statement of Cash Flows'!M23</f>
        <v>5482</v>
      </c>
      <c r="N11" s="27"/>
      <c r="P11" s="222"/>
    </row>
    <row r="12" spans="1:16" x14ac:dyDescent="0.3">
      <c r="A12" s="13"/>
      <c r="B12" s="13"/>
      <c r="C12" s="111" t="s">
        <v>149</v>
      </c>
      <c r="D12" s="5"/>
      <c r="E12" s="5"/>
      <c r="F12" s="5"/>
      <c r="G12" s="5"/>
      <c r="H12" s="27"/>
      <c r="I12" s="112">
        <f>I11/I$9</f>
        <v>3.419894990776217E-2</v>
      </c>
      <c r="J12" s="112">
        <f>J11/J$9</f>
        <v>2.320403687582074E-2</v>
      </c>
      <c r="K12" s="112">
        <f>K11/K$9</f>
        <v>2.4575103353238401E-2</v>
      </c>
      <c r="L12" s="112">
        <f>L11/L$9</f>
        <v>2.7741527810211958E-2</v>
      </c>
      <c r="M12" s="112">
        <f>M11/M$9</f>
        <v>4.146308257824436E-2</v>
      </c>
      <c r="N12" s="27"/>
    </row>
    <row r="13" spans="1:16" s="133" customFormat="1" x14ac:dyDescent="0.3">
      <c r="A13" s="5"/>
      <c r="B13" s="5"/>
      <c r="C13" s="5"/>
      <c r="D13" s="5"/>
      <c r="E13" s="5"/>
      <c r="F13" s="5"/>
      <c r="G13" s="5"/>
      <c r="H13" s="27"/>
      <c r="I13" s="27"/>
      <c r="J13" s="27"/>
      <c r="K13" s="27"/>
      <c r="L13" s="27"/>
      <c r="M13" s="27"/>
      <c r="N13" s="27"/>
      <c r="P13" s="222"/>
    </row>
    <row r="14" spans="1:16" s="133" customFormat="1" x14ac:dyDescent="0.3">
      <c r="A14" s="5"/>
      <c r="B14" s="5"/>
      <c r="C14" s="13" t="s">
        <v>154</v>
      </c>
      <c r="D14" s="5"/>
      <c r="E14" s="5"/>
      <c r="F14" s="5"/>
      <c r="G14" s="5"/>
      <c r="H14" s="27"/>
      <c r="I14" s="15">
        <v>9105</v>
      </c>
      <c r="J14" s="15">
        <v>8541</v>
      </c>
      <c r="K14" s="15">
        <v>9996</v>
      </c>
      <c r="L14" s="15">
        <v>9717</v>
      </c>
      <c r="M14" s="15">
        <v>9680</v>
      </c>
      <c r="N14" s="27"/>
      <c r="P14" s="222"/>
    </row>
    <row r="15" spans="1:16" x14ac:dyDescent="0.3">
      <c r="A15" s="13"/>
      <c r="B15" s="13"/>
      <c r="C15" s="13" t="s">
        <v>186</v>
      </c>
      <c r="D15" s="13"/>
      <c r="E15" s="13"/>
      <c r="F15" s="5"/>
      <c r="G15" s="5"/>
      <c r="H15" s="27"/>
      <c r="I15" s="15">
        <v>2435</v>
      </c>
      <c r="J15" s="15">
        <v>2939</v>
      </c>
      <c r="K15" s="15">
        <v>3766</v>
      </c>
      <c r="L15" s="15">
        <v>4137</v>
      </c>
      <c r="M15" s="15">
        <v>3625</v>
      </c>
      <c r="N15" s="27"/>
      <c r="O15" s="203"/>
    </row>
    <row r="16" spans="1:16" s="133" customFormat="1" x14ac:dyDescent="0.3">
      <c r="A16" s="5"/>
      <c r="B16" s="5"/>
      <c r="C16" s="111" t="s">
        <v>150</v>
      </c>
      <c r="D16" s="5"/>
      <c r="E16" s="5"/>
      <c r="F16" s="6"/>
      <c r="G16" s="5"/>
      <c r="H16" s="27"/>
      <c r="I16" s="112">
        <f>I15/I$9</f>
        <v>1.8186163578379752E-2</v>
      </c>
      <c r="J16" s="112">
        <f>J15/J$9</f>
        <v>1.9591113007192518E-2</v>
      </c>
      <c r="K16" s="112">
        <f>K15/K$9</f>
        <v>2.4712907671107027E-2</v>
      </c>
      <c r="L16" s="112">
        <f>L15/L$9</f>
        <v>2.8414632471118317E-2</v>
      </c>
      <c r="M16" s="112">
        <f>M15/M$9</f>
        <v>2.7417671350991574E-2</v>
      </c>
      <c r="N16" s="27"/>
      <c r="P16" s="222"/>
    </row>
    <row r="17" spans="1:21" s="133" customFormat="1" x14ac:dyDescent="0.3">
      <c r="A17" s="5"/>
      <c r="B17" s="5"/>
      <c r="C17" s="111" t="s">
        <v>155</v>
      </c>
      <c r="D17" s="5"/>
      <c r="E17" s="5"/>
      <c r="F17" s="6"/>
      <c r="G17" s="5"/>
      <c r="H17" s="27"/>
      <c r="I17" s="7">
        <f>I15/I14</f>
        <v>0.26743547501372872</v>
      </c>
      <c r="J17" s="7">
        <f t="shared" ref="J17:M17" si="1">J15/J14</f>
        <v>0.34410490574874136</v>
      </c>
      <c r="K17" s="7">
        <f t="shared" si="1"/>
        <v>0.37675070028011204</v>
      </c>
      <c r="L17" s="7">
        <f t="shared" si="1"/>
        <v>0.42574868786662551</v>
      </c>
      <c r="M17" s="7">
        <f t="shared" si="1"/>
        <v>0.37448347107438018</v>
      </c>
      <c r="N17" s="27"/>
      <c r="P17" s="222"/>
    </row>
    <row r="18" spans="1:21" s="133" customFormat="1" x14ac:dyDescent="0.3">
      <c r="A18" s="5"/>
      <c r="B18" s="5"/>
      <c r="C18" s="5"/>
      <c r="D18" s="5"/>
      <c r="E18" s="5"/>
      <c r="F18" s="5"/>
      <c r="G18" s="5"/>
      <c r="H18" s="5"/>
      <c r="I18" s="27"/>
      <c r="J18" s="27"/>
      <c r="K18" s="27"/>
      <c r="L18" s="27"/>
      <c r="M18" s="27"/>
      <c r="N18" s="27"/>
      <c r="P18" s="222"/>
    </row>
    <row r="19" spans="1:21" s="133" customFormat="1" x14ac:dyDescent="0.3">
      <c r="A19" s="5"/>
      <c r="B19" s="5"/>
      <c r="C19" s="5" t="s">
        <v>187</v>
      </c>
      <c r="D19" s="5"/>
      <c r="E19" s="5"/>
      <c r="F19" s="5"/>
      <c r="G19" s="5"/>
      <c r="H19" s="5"/>
      <c r="I19" s="32">
        <f>-'Statement of Cash Flows'!I24</f>
        <v>2741</v>
      </c>
      <c r="J19" s="32">
        <f>-'Statement of Cash Flows'!J24</f>
        <v>3418</v>
      </c>
      <c r="K19" s="32">
        <f>-'Statement of Cash Flows'!K24</f>
        <v>4468</v>
      </c>
      <c r="L19" s="32">
        <f>-'Statement of Cash Flows'!L24</f>
        <v>4626</v>
      </c>
      <c r="M19" s="32">
        <f>-'Statement of Cash Flows'!M24</f>
        <v>4260</v>
      </c>
      <c r="N19" s="27"/>
      <c r="P19" s="222"/>
    </row>
    <row r="20" spans="1:21" s="133" customFormat="1" x14ac:dyDescent="0.3">
      <c r="A20" s="5"/>
      <c r="B20" s="5"/>
      <c r="C20" s="13" t="s">
        <v>142</v>
      </c>
      <c r="D20" s="13"/>
      <c r="E20" s="13"/>
      <c r="F20" s="5"/>
      <c r="G20" s="5"/>
      <c r="H20" s="113"/>
      <c r="I20" s="32">
        <f>I11+I19</f>
        <v>7320</v>
      </c>
      <c r="J20" s="32">
        <f t="shared" ref="J20:M20" si="2">J11+J19</f>
        <v>6899</v>
      </c>
      <c r="K20" s="32">
        <f t="shared" si="2"/>
        <v>8213</v>
      </c>
      <c r="L20" s="32">
        <f t="shared" si="2"/>
        <v>8665</v>
      </c>
      <c r="M20" s="32">
        <f t="shared" si="2"/>
        <v>9742</v>
      </c>
      <c r="N20" s="27"/>
      <c r="P20" s="222"/>
    </row>
    <row r="21" spans="1:21" x14ac:dyDescent="0.3">
      <c r="A21" s="13"/>
      <c r="B21" s="13"/>
      <c r="C21" s="111" t="s">
        <v>151</v>
      </c>
      <c r="D21" s="13"/>
      <c r="E21" s="13"/>
      <c r="F21" s="5"/>
      <c r="G21" s="5"/>
      <c r="H21" s="27"/>
      <c r="I21" s="112">
        <f>I20/I$9</f>
        <v>5.4670520490242208E-2</v>
      </c>
      <c r="J21" s="112">
        <f>J20/J$9</f>
        <v>4.5988121346247426E-2</v>
      </c>
      <c r="K21" s="112">
        <f>K20/K$9</f>
        <v>5.3894612507382374E-2</v>
      </c>
      <c r="L21" s="112">
        <f>L20/L$9</f>
        <v>5.9514815170954846E-2</v>
      </c>
      <c r="M21" s="112">
        <f>M20/M$9</f>
        <v>7.3683573600375155E-2</v>
      </c>
      <c r="N21" s="27"/>
      <c r="R21" s="258"/>
      <c r="S21" s="258"/>
      <c r="T21" s="258"/>
      <c r="U21" s="258"/>
    </row>
    <row r="22" spans="1:21" s="133" customFormat="1" x14ac:dyDescent="0.3">
      <c r="A22" s="5"/>
      <c r="B22" s="5"/>
      <c r="C22" s="114"/>
      <c r="D22" s="5"/>
      <c r="E22" s="5"/>
      <c r="F22" s="5"/>
      <c r="G22" s="5"/>
      <c r="H22" s="27"/>
      <c r="I22" s="115"/>
      <c r="J22" s="115"/>
      <c r="K22" s="115"/>
      <c r="L22" s="115"/>
      <c r="M22" s="115"/>
      <c r="N22" s="27"/>
      <c r="P22" s="222"/>
      <c r="R22" s="258"/>
      <c r="S22" s="258"/>
      <c r="T22" s="258"/>
      <c r="U22" s="258"/>
    </row>
    <row r="23" spans="1:21" s="133" customFormat="1" x14ac:dyDescent="0.3">
      <c r="A23" s="5"/>
      <c r="B23" s="5"/>
      <c r="C23" s="13" t="s">
        <v>146</v>
      </c>
      <c r="D23" s="5"/>
      <c r="E23" s="5"/>
      <c r="F23" s="5"/>
      <c r="G23" s="5"/>
      <c r="H23" s="27"/>
      <c r="I23" s="32">
        <f>'Statement of Cash Flows'!I10</f>
        <v>6980</v>
      </c>
      <c r="J23" s="32">
        <f>'Statement of Cash Flows'!J10</f>
        <v>6521</v>
      </c>
      <c r="K23" s="32">
        <f>'Statement of Cash Flows'!K10</f>
        <v>6663</v>
      </c>
      <c r="L23" s="32">
        <f>'Statement of Cash Flows'!L10</f>
        <v>6772</v>
      </c>
      <c r="M23" s="32">
        <f>'Statement of Cash Flows'!M10</f>
        <v>7223</v>
      </c>
      <c r="N23" s="27"/>
      <c r="P23" s="222"/>
      <c r="R23" s="258"/>
      <c r="S23" s="258"/>
      <c r="T23" s="258"/>
      <c r="U23" s="258"/>
    </row>
    <row r="24" spans="1:21" s="133" customFormat="1" x14ac:dyDescent="0.3">
      <c r="A24" s="5"/>
      <c r="B24" s="5"/>
      <c r="C24" s="114"/>
      <c r="D24" s="5"/>
      <c r="E24" s="5"/>
      <c r="F24" s="5"/>
      <c r="G24" s="5"/>
      <c r="H24" s="27"/>
      <c r="I24" s="115"/>
      <c r="J24" s="115"/>
      <c r="K24" s="115"/>
      <c r="L24" s="115"/>
      <c r="M24" s="115"/>
      <c r="N24" s="27"/>
      <c r="P24" s="222"/>
      <c r="R24" s="258"/>
      <c r="S24" s="258"/>
      <c r="T24" s="258"/>
      <c r="U24" s="258"/>
    </row>
    <row r="25" spans="1:21" s="133" customFormat="1" x14ac:dyDescent="0.3">
      <c r="A25" s="5"/>
      <c r="B25" s="5"/>
      <c r="C25" s="13" t="s">
        <v>147</v>
      </c>
      <c r="D25" s="5"/>
      <c r="E25" s="5"/>
      <c r="F25" s="5"/>
      <c r="G25" s="5"/>
      <c r="H25" s="27"/>
      <c r="I25" s="95">
        <f>I20/I23</f>
        <v>1.0487106017191976</v>
      </c>
      <c r="J25" s="95">
        <f t="shared" ref="J25:M25" si="3">J20/J23</f>
        <v>1.0579665695445484</v>
      </c>
      <c r="K25" s="95">
        <f t="shared" si="3"/>
        <v>1.2326279453699536</v>
      </c>
      <c r="L25" s="95">
        <f t="shared" si="3"/>
        <v>1.2795333727111635</v>
      </c>
      <c r="M25" s="95">
        <f t="shared" si="3"/>
        <v>1.3487470580091374</v>
      </c>
      <c r="N25" s="27"/>
      <c r="P25" s="222"/>
      <c r="R25" s="258"/>
      <c r="S25" s="258"/>
      <c r="T25" s="258"/>
      <c r="U25" s="258"/>
    </row>
    <row r="26" spans="1:21" s="133" customFormat="1" x14ac:dyDescent="0.3">
      <c r="A26" s="5"/>
      <c r="B26" s="114"/>
      <c r="C26" s="92"/>
      <c r="D26" s="5"/>
      <c r="E26" s="5"/>
      <c r="F26" s="5"/>
      <c r="G26" s="5"/>
      <c r="H26" s="27"/>
      <c r="I26" s="115"/>
      <c r="J26" s="115"/>
      <c r="K26" s="115"/>
      <c r="L26" s="115"/>
      <c r="M26" s="115"/>
      <c r="N26" s="27"/>
      <c r="P26" s="222"/>
      <c r="R26" s="258"/>
      <c r="S26" s="258"/>
      <c r="T26" s="258"/>
      <c r="U26" s="258"/>
    </row>
    <row r="27" spans="1:21" s="133" customFormat="1" x14ac:dyDescent="0.3">
      <c r="A27" s="5"/>
      <c r="B27" s="86" t="s">
        <v>188</v>
      </c>
      <c r="C27" s="92"/>
      <c r="D27" s="5"/>
      <c r="E27" s="5"/>
      <c r="F27" s="5"/>
      <c r="G27" s="5"/>
      <c r="H27" s="27"/>
      <c r="I27" s="115"/>
      <c r="J27" s="115"/>
      <c r="K27" s="115"/>
      <c r="L27" s="115"/>
      <c r="M27" s="115"/>
      <c r="N27" s="27"/>
      <c r="P27" s="222"/>
      <c r="R27" s="258"/>
      <c r="S27" s="258"/>
      <c r="T27" s="258"/>
      <c r="U27" s="258"/>
    </row>
    <row r="28" spans="1:21" s="133" customFormat="1" x14ac:dyDescent="0.3">
      <c r="A28" s="5"/>
      <c r="B28" s="5"/>
      <c r="C28" s="5" t="s">
        <v>189</v>
      </c>
      <c r="D28" s="21"/>
      <c r="E28" s="21"/>
      <c r="F28" s="21"/>
      <c r="G28" s="21"/>
      <c r="H28" s="93"/>
      <c r="I28" s="30">
        <f>'Segment Analysis'!I9+'Segment Analysis'!I16</f>
        <v>111447</v>
      </c>
      <c r="J28" s="30">
        <f>'Segment Analysis'!J9+'Segment Analysis'!J16</f>
        <v>128818</v>
      </c>
      <c r="K28" s="30">
        <f>'Segment Analysis'!K9+'Segment Analysis'!K16</f>
        <v>133044</v>
      </c>
      <c r="L28" s="30">
        <f>'Segment Analysis'!L9+'Segment Analysis'!L16</f>
        <v>127081</v>
      </c>
      <c r="M28" s="30">
        <f>'Segment Analysis'!M9+'Segment Analysis'!M16</f>
        <v>113555</v>
      </c>
      <c r="N28" s="27"/>
      <c r="P28" s="222"/>
      <c r="R28" s="258"/>
      <c r="S28" s="258"/>
      <c r="T28" s="258"/>
      <c r="U28" s="258"/>
    </row>
    <row r="29" spans="1:21" s="133" customFormat="1" x14ac:dyDescent="0.3">
      <c r="A29" s="5"/>
      <c r="B29" s="5"/>
      <c r="C29" s="86"/>
      <c r="D29" s="5"/>
      <c r="E29" s="5"/>
      <c r="F29" s="5"/>
      <c r="G29" s="5"/>
      <c r="H29" s="27"/>
      <c r="I29" s="115"/>
      <c r="J29" s="115"/>
      <c r="K29" s="115"/>
      <c r="L29" s="115"/>
      <c r="M29" s="115"/>
      <c r="N29" s="27"/>
      <c r="P29" s="222"/>
      <c r="R29" s="258"/>
      <c r="S29" s="258"/>
      <c r="T29" s="258"/>
      <c r="U29" s="258"/>
    </row>
    <row r="30" spans="1:21" s="133" customFormat="1" x14ac:dyDescent="0.3">
      <c r="A30" s="5"/>
      <c r="B30" s="13"/>
      <c r="C30" s="13" t="s">
        <v>3</v>
      </c>
      <c r="D30" s="13"/>
      <c r="E30" s="13"/>
      <c r="F30" s="5"/>
      <c r="G30" s="5"/>
      <c r="H30" s="27"/>
      <c r="I30" s="32">
        <f>'Segment Analysis'!I10+'Segment Analysis'!I17</f>
        <v>13918</v>
      </c>
      <c r="J30" s="32">
        <f>'Segment Analysis'!J10+'Segment Analysis'!J17</f>
        <v>18172</v>
      </c>
      <c r="K30" s="32">
        <f>'Segment Analysis'!K10+'Segment Analysis'!K17</f>
        <v>17315</v>
      </c>
      <c r="L30" s="32">
        <f>'Segment Analysis'!L10+'Segment Analysis'!L17</f>
        <v>11502</v>
      </c>
      <c r="M30" s="32">
        <f>'Segment Analysis'!M10+'Segment Analysis'!M17</f>
        <v>6528</v>
      </c>
      <c r="N30" s="27"/>
      <c r="P30" s="222"/>
      <c r="R30" s="258"/>
      <c r="S30" s="258"/>
      <c r="T30" s="258"/>
      <c r="U30" s="258"/>
    </row>
    <row r="31" spans="1:21" s="133" customFormat="1" x14ac:dyDescent="0.3">
      <c r="A31" s="5"/>
      <c r="B31" s="13"/>
      <c r="C31" s="111" t="s">
        <v>153</v>
      </c>
      <c r="D31" s="13"/>
      <c r="E31" s="13"/>
      <c r="F31" s="5"/>
      <c r="G31" s="5"/>
      <c r="H31" s="27"/>
      <c r="I31" s="112">
        <f>I30/I28</f>
        <v>0.12488447423438945</v>
      </c>
      <c r="J31" s="112">
        <f>J30/J28</f>
        <v>0.14106724215559938</v>
      </c>
      <c r="K31" s="112">
        <f>K30/K28</f>
        <v>0.13014491446438772</v>
      </c>
      <c r="L31" s="112">
        <f>L30/L28</f>
        <v>9.050920279192011E-2</v>
      </c>
      <c r="M31" s="112">
        <f>M30/M28</f>
        <v>5.7487561093743117E-2</v>
      </c>
      <c r="N31" s="27"/>
      <c r="P31" s="222"/>
      <c r="R31" s="258"/>
      <c r="S31" s="258"/>
      <c r="T31" s="258"/>
      <c r="U31" s="258"/>
    </row>
    <row r="32" spans="1:21" s="133" customFormat="1" x14ac:dyDescent="0.3">
      <c r="A32" s="5"/>
      <c r="B32" s="5"/>
      <c r="C32" s="5"/>
      <c r="D32" s="5"/>
      <c r="E32" s="5"/>
      <c r="F32" s="5"/>
      <c r="G32" s="5"/>
      <c r="H32" s="5"/>
      <c r="I32" s="5"/>
      <c r="J32" s="5"/>
      <c r="K32" s="5"/>
      <c r="L32" s="5"/>
      <c r="M32" s="5"/>
      <c r="N32" s="27"/>
      <c r="P32" s="222"/>
      <c r="R32" s="258"/>
      <c r="S32" s="258"/>
      <c r="T32" s="258"/>
      <c r="U32" s="258"/>
    </row>
    <row r="33" spans="1:22" s="133" customFormat="1" ht="18" x14ac:dyDescent="0.35">
      <c r="A33" s="5"/>
      <c r="B33" s="5"/>
      <c r="C33" s="13" t="s">
        <v>181</v>
      </c>
      <c r="D33" s="5"/>
      <c r="E33" s="5"/>
      <c r="F33" s="5"/>
      <c r="G33" s="5"/>
      <c r="H33" s="27"/>
      <c r="I33" s="15">
        <v>7880</v>
      </c>
      <c r="J33" s="15">
        <v>8128</v>
      </c>
      <c r="K33" s="15">
        <v>11316</v>
      </c>
      <c r="L33" s="15">
        <v>9152</v>
      </c>
      <c r="M33" s="15">
        <v>5414</v>
      </c>
      <c r="N33" s="27"/>
      <c r="P33" s="222"/>
      <c r="R33" s="259"/>
      <c r="S33" s="194"/>
      <c r="T33" s="194"/>
      <c r="U33" s="194"/>
      <c r="V33" s="194"/>
    </row>
    <row r="34" spans="1:22" x14ac:dyDescent="0.3">
      <c r="A34" s="13"/>
      <c r="B34" s="5"/>
      <c r="C34" s="13" t="s">
        <v>144</v>
      </c>
      <c r="D34" s="5"/>
      <c r="E34" s="5"/>
      <c r="F34" s="5"/>
      <c r="G34" s="5"/>
      <c r="H34" s="27"/>
      <c r="I34" s="15">
        <v>10125</v>
      </c>
      <c r="J34" s="15">
        <v>9294</v>
      </c>
      <c r="K34" s="15">
        <v>11720</v>
      </c>
      <c r="L34" s="15">
        <v>9421</v>
      </c>
      <c r="M34" s="15">
        <v>5856</v>
      </c>
      <c r="N34" s="27"/>
      <c r="R34" s="260"/>
      <c r="S34" s="258"/>
      <c r="T34" s="258"/>
      <c r="U34" s="258"/>
      <c r="V34" s="258"/>
    </row>
    <row r="35" spans="1:22" s="133" customFormat="1" x14ac:dyDescent="0.3">
      <c r="A35" s="5"/>
      <c r="B35" s="13"/>
      <c r="C35" s="111" t="s">
        <v>152</v>
      </c>
      <c r="D35" s="13"/>
      <c r="E35" s="13"/>
      <c r="F35" s="5"/>
      <c r="G35" s="5"/>
      <c r="H35" s="27"/>
      <c r="I35" s="112">
        <f>I34/I28</f>
        <v>9.0850359363643704E-2</v>
      </c>
      <c r="J35" s="112">
        <f>J34/J28</f>
        <v>7.2148302255895913E-2</v>
      </c>
      <c r="K35" s="112">
        <f>K34/K28</f>
        <v>8.8091157812453025E-2</v>
      </c>
      <c r="L35" s="112">
        <f>L34/L28</f>
        <v>7.4133820161943961E-2</v>
      </c>
      <c r="M35" s="112">
        <f>M34/M28</f>
        <v>5.1569723922328385E-2</v>
      </c>
      <c r="N35" s="27"/>
      <c r="P35" s="222"/>
      <c r="R35" s="260"/>
      <c r="S35" s="258"/>
      <c r="T35" s="258"/>
      <c r="U35" s="258"/>
      <c r="V35" s="258"/>
    </row>
    <row r="36" spans="1:22" x14ac:dyDescent="0.3">
      <c r="A36" s="13"/>
      <c r="B36" s="13"/>
      <c r="C36" s="13"/>
      <c r="D36" s="13"/>
      <c r="E36" s="13"/>
      <c r="F36" s="13"/>
      <c r="G36" s="13"/>
      <c r="H36" s="13"/>
      <c r="I36" s="13"/>
      <c r="J36" s="13"/>
      <c r="K36" s="13"/>
      <c r="L36" s="13"/>
      <c r="M36" s="13"/>
      <c r="N36" s="27"/>
      <c r="R36" s="260"/>
      <c r="S36" s="258"/>
      <c r="T36" s="258"/>
      <c r="U36" s="258"/>
      <c r="V36" s="258"/>
    </row>
    <row r="37" spans="1:22" x14ac:dyDescent="0.3">
      <c r="A37" s="13"/>
      <c r="B37" s="5"/>
      <c r="C37" s="13"/>
      <c r="D37" s="13"/>
      <c r="E37" s="13"/>
      <c r="F37" s="13"/>
      <c r="G37" s="13"/>
      <c r="H37" s="13"/>
      <c r="I37" s="13"/>
      <c r="J37" s="13"/>
      <c r="K37" s="13"/>
      <c r="L37" s="13"/>
      <c r="M37" s="13"/>
      <c r="N37" s="5"/>
    </row>
    <row r="38" spans="1:22" x14ac:dyDescent="0.3">
      <c r="A38" s="13"/>
      <c r="B38" s="17"/>
      <c r="C38" s="17"/>
      <c r="D38" s="17"/>
      <c r="E38" s="17"/>
      <c r="F38" s="17"/>
      <c r="G38" s="17"/>
      <c r="H38" s="17"/>
      <c r="I38" s="17"/>
      <c r="J38" s="17"/>
      <c r="K38" s="17"/>
      <c r="L38" s="17"/>
      <c r="M38" s="17"/>
      <c r="N38" s="17"/>
    </row>
    <row r="39" spans="1:22" x14ac:dyDescent="0.3">
      <c r="A39" s="13" t="s">
        <v>29</v>
      </c>
      <c r="B39" s="106" t="s">
        <v>284</v>
      </c>
      <c r="C39" s="107"/>
      <c r="D39" s="107"/>
      <c r="E39" s="107"/>
      <c r="F39" s="107"/>
      <c r="G39" s="107"/>
      <c r="H39" s="107"/>
      <c r="I39" s="107"/>
      <c r="J39" s="107"/>
      <c r="K39" s="107"/>
      <c r="L39" s="107"/>
      <c r="M39" s="107"/>
      <c r="N39" s="107"/>
    </row>
    <row r="40" spans="1:22" x14ac:dyDescent="0.3">
      <c r="A40" s="5"/>
      <c r="B40" s="5"/>
      <c r="C40" s="5"/>
      <c r="D40" s="5"/>
      <c r="E40" s="5"/>
      <c r="F40" s="5"/>
      <c r="G40" s="5"/>
      <c r="H40" s="5"/>
      <c r="I40" s="5"/>
      <c r="J40" s="5"/>
      <c r="K40" s="5"/>
      <c r="L40" s="5"/>
      <c r="M40" s="5"/>
      <c r="N40" s="5"/>
    </row>
    <row r="41" spans="1:22" x14ac:dyDescent="0.3">
      <c r="A41" s="5"/>
      <c r="B41" s="133"/>
      <c r="C41" s="133"/>
      <c r="D41" s="133"/>
      <c r="E41" s="133"/>
      <c r="F41" s="133"/>
      <c r="G41" s="5"/>
      <c r="H41" s="5"/>
      <c r="I41" s="125"/>
      <c r="J41" s="125"/>
      <c r="K41" s="125"/>
      <c r="L41" s="125"/>
      <c r="M41" s="125"/>
      <c r="N41" s="5"/>
    </row>
    <row r="42" spans="1:22" x14ac:dyDescent="0.3">
      <c r="A42" s="5"/>
      <c r="B42" s="133"/>
      <c r="C42" s="133"/>
      <c r="D42" s="133"/>
      <c r="E42" s="140"/>
      <c r="F42" s="140"/>
      <c r="G42" s="5"/>
      <c r="H42" s="5"/>
      <c r="I42" s="5"/>
      <c r="J42" s="5"/>
      <c r="K42" s="5"/>
      <c r="L42" s="5"/>
      <c r="M42" s="5"/>
      <c r="N42" s="5"/>
    </row>
    <row r="43" spans="1:22" x14ac:dyDescent="0.3">
      <c r="A43" s="5"/>
      <c r="B43" s="133"/>
      <c r="C43" s="133"/>
      <c r="D43" s="133"/>
      <c r="E43" s="135"/>
      <c r="F43" s="135"/>
      <c r="G43" s="5"/>
      <c r="H43" s="27"/>
      <c r="I43" s="32"/>
      <c r="J43" s="32"/>
      <c r="K43" s="32"/>
      <c r="L43" s="32"/>
      <c r="M43" s="32"/>
      <c r="N43" s="5"/>
    </row>
    <row r="44" spans="1:22" x14ac:dyDescent="0.3">
      <c r="A44" s="5"/>
      <c r="B44" s="133"/>
      <c r="C44" s="133"/>
      <c r="D44" s="133"/>
      <c r="E44" s="134"/>
      <c r="F44" s="134"/>
      <c r="G44" s="21"/>
      <c r="H44" s="93"/>
      <c r="I44" s="30"/>
      <c r="J44" s="30"/>
      <c r="K44" s="30"/>
      <c r="L44" s="103"/>
      <c r="M44" s="103"/>
      <c r="N44" s="5"/>
    </row>
    <row r="45" spans="1:22" x14ac:dyDescent="0.3">
      <c r="A45" s="5"/>
      <c r="B45" s="133"/>
      <c r="C45" s="133"/>
      <c r="D45" s="133"/>
      <c r="E45" s="135"/>
      <c r="F45" s="135"/>
      <c r="G45" s="5"/>
      <c r="H45" s="27"/>
      <c r="I45" s="32"/>
      <c r="J45" s="32"/>
      <c r="K45" s="32"/>
      <c r="L45" s="103"/>
      <c r="M45" s="103"/>
      <c r="N45" s="27"/>
    </row>
    <row r="46" spans="1:22" x14ac:dyDescent="0.3">
      <c r="A46" s="5"/>
      <c r="B46" s="141"/>
      <c r="C46" s="141"/>
      <c r="D46" s="141"/>
      <c r="E46" s="142"/>
      <c r="F46" s="142"/>
      <c r="G46" s="5"/>
      <c r="H46" s="27"/>
      <c r="I46" s="94"/>
      <c r="J46" s="94"/>
      <c r="K46" s="94"/>
      <c r="L46" s="103"/>
      <c r="M46" s="103"/>
      <c r="N46" s="27"/>
    </row>
    <row r="47" spans="1:22" x14ac:dyDescent="0.3">
      <c r="A47" s="5"/>
      <c r="B47" s="5"/>
      <c r="C47" s="90"/>
      <c r="D47" s="5"/>
      <c r="E47" s="5"/>
      <c r="F47" s="6"/>
      <c r="G47" s="5"/>
      <c r="H47" s="27"/>
      <c r="I47" s="32"/>
      <c r="J47" s="32"/>
      <c r="K47" s="32"/>
      <c r="L47" s="103"/>
      <c r="M47" s="103"/>
      <c r="N47" s="27"/>
    </row>
    <row r="48" spans="1:22" x14ac:dyDescent="0.3">
      <c r="A48" s="5"/>
      <c r="B48" s="5"/>
      <c r="C48" s="90"/>
      <c r="D48" s="5"/>
      <c r="E48" s="5"/>
      <c r="F48" s="5"/>
      <c r="G48" s="5"/>
      <c r="H48" s="27"/>
      <c r="I48" s="7"/>
      <c r="J48" s="7"/>
      <c r="K48" s="7"/>
      <c r="L48" s="7"/>
      <c r="M48" s="7"/>
      <c r="N48" s="27"/>
    </row>
    <row r="49" spans="1:14" x14ac:dyDescent="0.3">
      <c r="A49" s="13"/>
      <c r="B49" s="23"/>
      <c r="C49" s="88"/>
      <c r="D49" s="5"/>
      <c r="E49" s="5"/>
      <c r="F49" s="5"/>
      <c r="G49" s="5"/>
      <c r="H49" s="27"/>
      <c r="I49" s="15"/>
      <c r="J49" s="15"/>
      <c r="K49" s="15"/>
      <c r="L49" s="15"/>
      <c r="M49" s="15"/>
      <c r="N49" s="27"/>
    </row>
    <row r="50" spans="1:14" x14ac:dyDescent="0.3">
      <c r="A50" s="5"/>
      <c r="B50" s="23"/>
      <c r="C50" s="90"/>
      <c r="D50" s="5"/>
      <c r="E50" s="5"/>
      <c r="F50" s="5"/>
      <c r="G50" s="5"/>
      <c r="H50" s="27"/>
      <c r="I50" s="95"/>
      <c r="J50" s="95"/>
      <c r="K50" s="95"/>
      <c r="L50" s="95"/>
      <c r="M50" s="89"/>
      <c r="N50" s="27"/>
    </row>
    <row r="51" spans="1:14" x14ac:dyDescent="0.3">
      <c r="A51" s="5"/>
      <c r="B51" s="5"/>
      <c r="C51" s="88"/>
      <c r="D51" s="5"/>
      <c r="E51" s="5"/>
      <c r="F51" s="5"/>
      <c r="G51" s="5"/>
      <c r="H51" s="27"/>
      <c r="I51" s="89"/>
      <c r="J51" s="89"/>
      <c r="K51" s="89"/>
      <c r="L51" s="89"/>
      <c r="M51" s="89"/>
      <c r="N51" s="27"/>
    </row>
    <row r="52" spans="1:14" x14ac:dyDescent="0.3">
      <c r="A52" s="5"/>
      <c r="B52" s="5"/>
      <c r="C52" s="90"/>
      <c r="D52" s="5"/>
      <c r="E52" s="5"/>
      <c r="F52" s="5"/>
      <c r="G52" s="5"/>
      <c r="H52" s="27"/>
      <c r="I52" s="32"/>
      <c r="J52" s="32"/>
      <c r="K52" s="32"/>
      <c r="L52" s="32"/>
      <c r="M52" s="89"/>
      <c r="N52" s="27"/>
    </row>
    <row r="53" spans="1:14" x14ac:dyDescent="0.3">
      <c r="A53" s="5"/>
      <c r="B53" s="92"/>
      <c r="C53" s="5"/>
      <c r="D53" s="5"/>
      <c r="E53" s="5"/>
      <c r="F53" s="5"/>
      <c r="G53" s="5"/>
      <c r="H53" s="27"/>
      <c r="I53" s="89"/>
      <c r="J53" s="89"/>
      <c r="K53" s="89"/>
      <c r="L53" s="89"/>
      <c r="M53" s="89"/>
      <c r="N53" s="27"/>
    </row>
    <row r="54" spans="1:14" x14ac:dyDescent="0.3">
      <c r="A54" s="5"/>
      <c r="B54" s="5"/>
      <c r="C54" s="90"/>
      <c r="D54" s="5"/>
      <c r="E54" s="5"/>
      <c r="F54" s="5"/>
      <c r="G54" s="5"/>
      <c r="H54" s="5"/>
      <c r="I54" s="15"/>
      <c r="J54" s="15"/>
      <c r="K54" s="15"/>
      <c r="L54" s="15"/>
      <c r="M54" s="15"/>
      <c r="N54" s="27"/>
    </row>
    <row r="55" spans="1:14" x14ac:dyDescent="0.3">
      <c r="A55" s="5"/>
      <c r="B55" s="21"/>
      <c r="C55" s="90"/>
      <c r="D55" s="5"/>
      <c r="E55" s="5"/>
      <c r="F55" s="5"/>
      <c r="G55" s="5"/>
      <c r="H55" s="27"/>
      <c r="I55" s="15"/>
      <c r="J55" s="15"/>
      <c r="K55" s="15"/>
      <c r="L55" s="15"/>
      <c r="M55" s="15"/>
      <c r="N55" s="27"/>
    </row>
    <row r="56" spans="1:14" x14ac:dyDescent="0.3">
      <c r="A56" s="13"/>
      <c r="B56" s="23"/>
      <c r="C56" s="21"/>
      <c r="D56" s="5"/>
      <c r="E56" s="5"/>
      <c r="F56" s="5"/>
      <c r="G56" s="5"/>
      <c r="H56" s="27"/>
      <c r="I56" s="15"/>
      <c r="J56" s="15"/>
      <c r="K56" s="15"/>
      <c r="L56" s="15"/>
      <c r="M56" s="30"/>
      <c r="N56" s="27"/>
    </row>
    <row r="57" spans="1:14" x14ac:dyDescent="0.3">
      <c r="A57" s="5"/>
      <c r="B57" s="23"/>
      <c r="C57" s="90"/>
      <c r="D57" s="5"/>
      <c r="E57" s="5"/>
      <c r="F57" s="5"/>
      <c r="G57" s="5"/>
      <c r="H57" s="27"/>
      <c r="I57" s="15"/>
      <c r="J57" s="15"/>
      <c r="K57" s="15"/>
      <c r="L57" s="15"/>
      <c r="M57" s="15"/>
      <c r="N57" s="27"/>
    </row>
    <row r="58" spans="1:14" x14ac:dyDescent="0.3">
      <c r="A58" s="5"/>
      <c r="B58" s="5"/>
      <c r="C58" s="90"/>
      <c r="D58" s="5"/>
      <c r="E58" s="5"/>
      <c r="F58" s="5"/>
      <c r="G58" s="5"/>
      <c r="H58" s="27"/>
      <c r="I58" s="15"/>
      <c r="J58" s="15"/>
      <c r="K58" s="15"/>
      <c r="L58" s="32"/>
      <c r="M58" s="15"/>
      <c r="N58" s="27"/>
    </row>
    <row r="59" spans="1:14" x14ac:dyDescent="0.3">
      <c r="A59" s="5"/>
      <c r="B59" s="23"/>
      <c r="C59" s="90"/>
      <c r="D59" s="5"/>
      <c r="E59" s="5"/>
      <c r="F59" s="5"/>
      <c r="G59" s="5"/>
      <c r="H59" s="27"/>
      <c r="I59" s="97"/>
      <c r="J59" s="97"/>
      <c r="K59" s="97"/>
      <c r="L59" s="97"/>
      <c r="M59" s="15"/>
      <c r="N59" s="27"/>
    </row>
    <row r="60" spans="1:14" x14ac:dyDescent="0.3">
      <c r="A60" s="5"/>
      <c r="B60" s="21"/>
      <c r="C60" s="92"/>
      <c r="D60" s="5"/>
      <c r="E60" s="5"/>
      <c r="F60" s="5"/>
      <c r="G60" s="5"/>
      <c r="H60" s="27"/>
      <c r="I60" s="27"/>
      <c r="J60" s="27"/>
      <c r="K60" s="27"/>
      <c r="L60" s="110"/>
      <c r="M60" s="15"/>
      <c r="N60" s="27"/>
    </row>
    <row r="61" spans="1:14" x14ac:dyDescent="0.3">
      <c r="A61" s="5"/>
      <c r="B61" s="88"/>
      <c r="C61" s="21"/>
      <c r="D61" s="5"/>
      <c r="E61" s="5"/>
      <c r="F61" s="5"/>
      <c r="G61" s="5"/>
      <c r="H61" s="27"/>
      <c r="I61" s="27"/>
      <c r="J61" s="27"/>
      <c r="K61" s="27"/>
      <c r="L61" s="91"/>
      <c r="M61" s="30"/>
      <c r="N61" s="27"/>
    </row>
    <row r="62" spans="1:14" x14ac:dyDescent="0.3">
      <c r="A62" s="5"/>
      <c r="B62" s="88"/>
      <c r="C62" s="21"/>
      <c r="D62" s="5"/>
      <c r="E62" s="5"/>
      <c r="F62" s="5"/>
      <c r="G62" s="5"/>
      <c r="H62" s="27"/>
      <c r="I62" s="27"/>
      <c r="J62" s="27"/>
      <c r="K62" s="27"/>
      <c r="L62" s="91"/>
      <c r="M62" s="30"/>
      <c r="N62" s="27"/>
    </row>
    <row r="63" spans="1:14" x14ac:dyDescent="0.3">
      <c r="A63" s="5"/>
      <c r="B63" s="88"/>
      <c r="C63" s="21"/>
      <c r="D63" s="5"/>
      <c r="E63" s="5"/>
      <c r="F63" s="5"/>
      <c r="G63" s="5"/>
      <c r="H63" s="27"/>
      <c r="I63" s="27"/>
      <c r="J63" s="27"/>
      <c r="K63" s="27"/>
      <c r="L63" s="91"/>
      <c r="M63" s="30"/>
      <c r="N63" s="27"/>
    </row>
    <row r="64" spans="1:14" x14ac:dyDescent="0.3">
      <c r="A64" s="5"/>
      <c r="B64" s="88"/>
      <c r="C64" s="21"/>
      <c r="D64" s="5"/>
      <c r="E64" s="5"/>
      <c r="F64" s="5"/>
      <c r="G64" s="5"/>
      <c r="H64" s="27"/>
      <c r="I64" s="27"/>
      <c r="J64" s="27"/>
      <c r="K64" s="27"/>
      <c r="L64" s="91"/>
      <c r="M64" s="30"/>
      <c r="N64" s="27"/>
    </row>
    <row r="65" spans="1:14" x14ac:dyDescent="0.3">
      <c r="A65" s="5"/>
      <c r="B65" s="88"/>
      <c r="C65" s="21"/>
      <c r="D65" s="5"/>
      <c r="E65" s="5"/>
      <c r="F65" s="5"/>
      <c r="G65" s="5"/>
      <c r="H65" s="27"/>
      <c r="I65" s="27"/>
      <c r="J65" s="27"/>
      <c r="K65" s="27"/>
      <c r="L65" s="91"/>
      <c r="M65" s="30"/>
      <c r="N65" s="27"/>
    </row>
    <row r="66" spans="1:14" x14ac:dyDescent="0.3">
      <c r="A66" s="5"/>
      <c r="B66" s="21"/>
      <c r="C66" s="92"/>
      <c r="D66" s="5"/>
      <c r="E66" s="5"/>
      <c r="F66" s="5"/>
      <c r="G66" s="5"/>
      <c r="H66" s="27"/>
      <c r="I66" s="27"/>
      <c r="J66" s="27"/>
      <c r="K66" s="27"/>
      <c r="L66" s="122"/>
      <c r="M66" s="122"/>
      <c r="N66" s="27"/>
    </row>
    <row r="67" spans="1:14" x14ac:dyDescent="0.3">
      <c r="A67" s="5"/>
      <c r="B67" s="21"/>
      <c r="C67" s="92"/>
      <c r="D67" s="5"/>
      <c r="E67" s="5"/>
      <c r="F67" s="5"/>
      <c r="G67" s="5"/>
      <c r="H67" s="27"/>
      <c r="I67" s="15"/>
      <c r="J67" s="15"/>
      <c r="K67" s="15"/>
      <c r="L67" s="91"/>
      <c r="M67" s="91"/>
      <c r="N67" s="27"/>
    </row>
    <row r="68" spans="1:14" x14ac:dyDescent="0.3">
      <c r="A68" s="5"/>
      <c r="B68" s="5"/>
      <c r="C68" s="92"/>
      <c r="D68" s="5"/>
      <c r="E68" s="5"/>
      <c r="F68" s="5"/>
      <c r="G68" s="5"/>
      <c r="H68" s="27"/>
      <c r="I68" s="97"/>
      <c r="J68" s="97"/>
      <c r="K68" s="97"/>
      <c r="L68" s="5"/>
      <c r="M68" s="5"/>
      <c r="N68" s="27"/>
    </row>
    <row r="69" spans="1:14" x14ac:dyDescent="0.3">
      <c r="A69" s="13"/>
      <c r="B69" s="21"/>
      <c r="C69" s="92"/>
      <c r="D69" s="5"/>
      <c r="E69" s="5"/>
      <c r="F69" s="5"/>
      <c r="G69" s="5"/>
      <c r="H69" s="27"/>
      <c r="I69" s="97"/>
      <c r="J69" s="97"/>
      <c r="K69" s="97"/>
      <c r="L69" s="100"/>
      <c r="M69" s="123"/>
    </row>
    <row r="70" spans="1:14" x14ac:dyDescent="0.3">
      <c r="A70" s="5"/>
      <c r="B70" s="21"/>
      <c r="C70" s="92"/>
      <c r="D70" s="5"/>
      <c r="E70" s="5"/>
      <c r="F70" s="5"/>
      <c r="G70" s="5"/>
      <c r="H70" s="27"/>
      <c r="I70" s="27"/>
      <c r="J70" s="27"/>
      <c r="K70" s="27"/>
      <c r="L70" s="27"/>
      <c r="M70" s="91"/>
      <c r="N70" s="27"/>
    </row>
    <row r="71" spans="1:14" x14ac:dyDescent="0.3">
      <c r="A71" s="13"/>
      <c r="B71" s="5"/>
      <c r="C71" s="92"/>
      <c r="D71" s="5"/>
      <c r="E71" s="5"/>
      <c r="F71" s="6"/>
      <c r="G71" s="5"/>
      <c r="H71" s="27"/>
      <c r="I71" s="103"/>
      <c r="J71" s="103"/>
      <c r="K71" s="103"/>
      <c r="L71" s="103"/>
      <c r="M71" s="103"/>
      <c r="N71" s="27"/>
    </row>
    <row r="72" spans="1:14" x14ac:dyDescent="0.3">
      <c r="A72" s="13"/>
      <c r="B72" s="136"/>
      <c r="C72" s="119"/>
      <c r="D72" s="119"/>
      <c r="E72" s="119"/>
      <c r="F72" s="119"/>
      <c r="G72" s="119"/>
      <c r="H72" s="119"/>
      <c r="I72" s="119"/>
      <c r="J72" s="119"/>
      <c r="K72" s="119"/>
      <c r="L72" s="119"/>
      <c r="M72" s="119"/>
      <c r="N72" s="119"/>
    </row>
    <row r="73" spans="1:14" x14ac:dyDescent="0.3">
      <c r="A73" s="13" t="s">
        <v>29</v>
      </c>
      <c r="B73" s="17"/>
      <c r="C73" s="17"/>
      <c r="D73" s="17"/>
      <c r="E73" s="17"/>
      <c r="F73" s="17"/>
      <c r="G73" s="17"/>
      <c r="H73" s="17"/>
      <c r="I73" s="17"/>
      <c r="J73" s="17"/>
      <c r="K73" s="17"/>
      <c r="L73" s="17"/>
      <c r="M73" s="17"/>
      <c r="N73" s="17"/>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EC917-F8AC-4043-80C8-C54CE0A30A72}">
  <sheetPr>
    <outlinePr showOutlineSymbols="0"/>
    <pageSetUpPr autoPageBreaks="0"/>
  </sheetPr>
  <dimension ref="A1:V66"/>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5" width="9.140625" style="194"/>
    <col min="16" max="16" width="4.7109375" style="221" customWidth="1"/>
    <col min="17" max="16384" width="9.140625" style="194"/>
  </cols>
  <sheetData>
    <row r="1" spans="1:16" ht="6" customHeight="1" x14ac:dyDescent="0.3">
      <c r="A1" s="13"/>
      <c r="B1" s="13"/>
      <c r="C1" s="13"/>
      <c r="D1" s="13"/>
      <c r="E1" s="13"/>
      <c r="F1" s="13"/>
      <c r="G1" s="13"/>
      <c r="H1" s="13"/>
      <c r="I1" s="13"/>
      <c r="J1" s="13"/>
      <c r="K1" s="13"/>
      <c r="L1" s="13"/>
      <c r="M1" s="13"/>
      <c r="N1" s="13"/>
    </row>
    <row r="2" spans="1:16" ht="39.950000000000003" customHeight="1" x14ac:dyDescent="0.3">
      <c r="A2" s="13"/>
      <c r="B2" s="104"/>
      <c r="C2" s="104"/>
      <c r="D2" s="241" t="s">
        <v>28</v>
      </c>
      <c r="E2" s="104"/>
      <c r="F2" s="104"/>
      <c r="G2" s="104"/>
      <c r="H2" s="104"/>
      <c r="I2" s="105"/>
      <c r="J2" s="104"/>
      <c r="K2" s="104"/>
      <c r="L2" s="104"/>
      <c r="M2" s="104"/>
      <c r="N2" s="104"/>
    </row>
    <row r="3" spans="1:16" x14ac:dyDescent="0.3">
      <c r="A3" s="13"/>
      <c r="B3" s="13"/>
      <c r="C3" s="13"/>
      <c r="D3" s="13"/>
      <c r="E3" s="13"/>
      <c r="F3" s="13"/>
      <c r="G3" s="13"/>
      <c r="H3" s="13"/>
      <c r="I3" s="13"/>
      <c r="J3" s="13"/>
      <c r="K3" s="13"/>
      <c r="L3" s="13"/>
      <c r="M3" s="13"/>
      <c r="N3" s="13"/>
    </row>
    <row r="4" spans="1:16" x14ac:dyDescent="0.3">
      <c r="A4" s="13" t="s">
        <v>29</v>
      </c>
      <c r="B4" s="106" t="s">
        <v>192</v>
      </c>
      <c r="C4" s="107"/>
      <c r="D4" s="107"/>
      <c r="E4" s="107"/>
      <c r="F4" s="107"/>
      <c r="G4" s="107"/>
      <c r="H4" s="107"/>
      <c r="I4" s="107"/>
      <c r="J4" s="107"/>
      <c r="K4" s="107"/>
      <c r="L4" s="107"/>
      <c r="M4" s="107"/>
      <c r="N4" s="107"/>
    </row>
    <row r="5" spans="1:16" x14ac:dyDescent="0.3">
      <c r="A5" s="13"/>
      <c r="B5" s="13"/>
      <c r="C5" s="13"/>
      <c r="D5" s="13"/>
      <c r="E5" s="13"/>
      <c r="F5" s="13"/>
      <c r="G5" s="13"/>
      <c r="H5" s="13"/>
      <c r="I5" s="13"/>
      <c r="J5" s="13"/>
      <c r="K5" s="13"/>
      <c r="L5" s="13"/>
      <c r="M5" s="13"/>
      <c r="N5" s="13"/>
    </row>
    <row r="6" spans="1:16" ht="17.25" thickBot="1" x14ac:dyDescent="0.35">
      <c r="A6" s="13"/>
      <c r="B6" s="240" t="s">
        <v>20</v>
      </c>
      <c r="C6" s="13"/>
      <c r="D6" s="13"/>
      <c r="E6" s="13"/>
      <c r="F6" s="13"/>
      <c r="G6" s="13"/>
      <c r="H6" s="109"/>
      <c r="I6" s="200">
        <v>2021</v>
      </c>
      <c r="J6" s="200">
        <f>I6+1</f>
        <v>2022</v>
      </c>
      <c r="K6" s="200">
        <f t="shared" ref="K6:M6" si="0">J6+1</f>
        <v>2023</v>
      </c>
      <c r="L6" s="200">
        <f t="shared" si="0"/>
        <v>2024</v>
      </c>
      <c r="M6" s="200">
        <f t="shared" si="0"/>
        <v>2025</v>
      </c>
      <c r="N6" s="13"/>
    </row>
    <row r="7" spans="1:16" x14ac:dyDescent="0.3">
      <c r="A7" s="13"/>
      <c r="B7" s="11"/>
      <c r="C7" s="12"/>
      <c r="D7" s="13"/>
      <c r="E7" s="13"/>
      <c r="F7" s="13"/>
      <c r="G7" s="13"/>
      <c r="H7" s="13"/>
      <c r="I7" s="13"/>
      <c r="J7" s="13"/>
      <c r="K7" s="13"/>
      <c r="L7" s="13"/>
      <c r="M7" s="13"/>
      <c r="N7" s="13"/>
    </row>
    <row r="8" spans="1:16" s="133" customFormat="1" x14ac:dyDescent="0.3">
      <c r="A8" s="5"/>
      <c r="B8" s="21" t="s">
        <v>173</v>
      </c>
      <c r="C8" s="92"/>
      <c r="D8" s="5"/>
      <c r="E8" s="5"/>
      <c r="F8" s="5"/>
      <c r="G8" s="5"/>
      <c r="H8" s="27"/>
      <c r="I8" s="32"/>
      <c r="J8" s="32"/>
      <c r="K8" s="32"/>
      <c r="L8" s="32"/>
      <c r="M8" s="32"/>
      <c r="N8" s="5"/>
      <c r="P8" s="222"/>
    </row>
    <row r="9" spans="1:16" s="133" customFormat="1" x14ac:dyDescent="0.3">
      <c r="A9" s="5"/>
      <c r="B9" s="21"/>
      <c r="C9" s="5" t="s">
        <v>191</v>
      </c>
      <c r="D9" s="21"/>
      <c r="E9" s="21"/>
      <c r="F9" s="21"/>
      <c r="G9" s="21"/>
      <c r="H9" s="93"/>
      <c r="I9" s="30">
        <f>'Capital Intensity'!I28</f>
        <v>111447</v>
      </c>
      <c r="J9" s="30">
        <f>'Capital Intensity'!J28</f>
        <v>128818</v>
      </c>
      <c r="K9" s="30">
        <f>'Capital Intensity'!K28</f>
        <v>133044</v>
      </c>
      <c r="L9" s="30">
        <f>'Capital Intensity'!L28</f>
        <v>127081</v>
      </c>
      <c r="M9" s="30">
        <f>'Capital Intensity'!M28</f>
        <v>113555</v>
      </c>
      <c r="N9" s="5"/>
      <c r="P9" s="222"/>
    </row>
    <row r="10" spans="1:16" x14ac:dyDescent="0.3">
      <c r="A10" s="13"/>
      <c r="B10" s="5"/>
      <c r="C10" s="90" t="s">
        <v>158</v>
      </c>
      <c r="D10" s="5"/>
      <c r="E10" s="5"/>
      <c r="F10" s="5"/>
      <c r="G10" s="5"/>
      <c r="H10" s="27"/>
      <c r="I10" s="32">
        <f>'Segment Analysis'!I10+'Segment Analysis'!I17</f>
        <v>13918</v>
      </c>
      <c r="J10" s="32">
        <f>'Segment Analysis'!J10+'Segment Analysis'!J17</f>
        <v>18172</v>
      </c>
      <c r="K10" s="32">
        <f>'Segment Analysis'!K10+'Segment Analysis'!K17</f>
        <v>17315</v>
      </c>
      <c r="L10" s="32">
        <f>'Segment Analysis'!L10+'Segment Analysis'!L17</f>
        <v>11502</v>
      </c>
      <c r="M10" s="32">
        <f>'Segment Analysis'!M10+'Segment Analysis'!M17</f>
        <v>6528</v>
      </c>
      <c r="N10" s="27"/>
    </row>
    <row r="11" spans="1:16" s="133" customFormat="1" x14ac:dyDescent="0.3">
      <c r="A11" s="5"/>
      <c r="B11" s="5"/>
      <c r="C11" s="90" t="s">
        <v>190</v>
      </c>
      <c r="D11" s="5"/>
      <c r="E11" s="5"/>
      <c r="F11" s="5"/>
      <c r="G11" s="5"/>
      <c r="H11" s="27"/>
      <c r="I11" s="94">
        <v>0.3</v>
      </c>
      <c r="J11" s="94">
        <v>0.3</v>
      </c>
      <c r="K11" s="94">
        <v>0.3</v>
      </c>
      <c r="L11" s="94">
        <v>0.3</v>
      </c>
      <c r="M11" s="94">
        <v>0.3</v>
      </c>
      <c r="N11" s="27"/>
      <c r="P11" s="222"/>
    </row>
    <row r="12" spans="1:16" s="133" customFormat="1" x14ac:dyDescent="0.3">
      <c r="A12" s="5"/>
      <c r="B12" s="5"/>
      <c r="C12" s="88" t="s">
        <v>174</v>
      </c>
      <c r="D12" s="5"/>
      <c r="E12" s="5"/>
      <c r="F12" s="5"/>
      <c r="G12" s="5"/>
      <c r="H12" s="27"/>
      <c r="I12" s="32">
        <f>I10*(1-I11)</f>
        <v>9742.5999999999985</v>
      </c>
      <c r="J12" s="32">
        <f t="shared" ref="J12:M12" si="1">J10*(1-J11)</f>
        <v>12720.4</v>
      </c>
      <c r="K12" s="32">
        <f t="shared" si="1"/>
        <v>12120.5</v>
      </c>
      <c r="L12" s="32">
        <f t="shared" si="1"/>
        <v>8051.4</v>
      </c>
      <c r="M12" s="32">
        <f t="shared" si="1"/>
        <v>4569.5999999999995</v>
      </c>
      <c r="N12" s="27"/>
      <c r="P12" s="222"/>
    </row>
    <row r="13" spans="1:16" s="133" customFormat="1" x14ac:dyDescent="0.3">
      <c r="A13" s="5"/>
      <c r="B13" s="5"/>
      <c r="C13" s="87" t="s">
        <v>182</v>
      </c>
      <c r="D13" s="5"/>
      <c r="E13" s="5"/>
      <c r="F13" s="5"/>
      <c r="G13" s="5"/>
      <c r="H13" s="27"/>
      <c r="I13" s="7">
        <f>I12/I9</f>
        <v>8.7419131964072597E-2</v>
      </c>
      <c r="J13" s="7">
        <f t="shared" ref="J13:M13" si="2">J12/J9</f>
        <v>9.8747069508919552E-2</v>
      </c>
      <c r="K13" s="7">
        <f t="shared" si="2"/>
        <v>9.1101440125071403E-2</v>
      </c>
      <c r="L13" s="7">
        <f t="shared" si="2"/>
        <v>6.3356441954344075E-2</v>
      </c>
      <c r="M13" s="7">
        <f t="shared" si="2"/>
        <v>4.0241292765620176E-2</v>
      </c>
      <c r="N13" s="27"/>
      <c r="P13" s="222"/>
    </row>
    <row r="14" spans="1:16" x14ac:dyDescent="0.3">
      <c r="A14" s="13"/>
      <c r="B14" s="23"/>
      <c r="C14" s="88" t="s">
        <v>183</v>
      </c>
      <c r="D14" s="5"/>
      <c r="E14" s="5"/>
      <c r="F14" s="5"/>
      <c r="G14" s="5"/>
      <c r="H14" s="27"/>
      <c r="I14" s="15">
        <v>33866</v>
      </c>
      <c r="J14" s="15">
        <v>39074</v>
      </c>
      <c r="K14" s="15">
        <v>42660</v>
      </c>
      <c r="L14" s="15">
        <v>43537</v>
      </c>
      <c r="M14" s="15">
        <v>40858</v>
      </c>
      <c r="N14" s="27"/>
    </row>
    <row r="15" spans="1:16" s="133" customFormat="1" x14ac:dyDescent="0.3">
      <c r="A15" s="5"/>
      <c r="B15" s="23"/>
      <c r="C15" s="90" t="s">
        <v>12</v>
      </c>
      <c r="D15" s="5"/>
      <c r="E15" s="5"/>
      <c r="F15" s="5"/>
      <c r="G15" s="5"/>
      <c r="H15" s="27"/>
      <c r="I15" s="95">
        <f>I9/I14</f>
        <v>3.2908226539892516</v>
      </c>
      <c r="J15" s="95">
        <f t="shared" ref="J15:M15" si="3">J9/J14</f>
        <v>3.2967702308440394</v>
      </c>
      <c r="K15" s="95">
        <f t="shared" si="3"/>
        <v>3.118706047819972</v>
      </c>
      <c r="L15" s="95">
        <f t="shared" si="3"/>
        <v>2.9189195397018626</v>
      </c>
      <c r="M15" s="95">
        <f t="shared" si="3"/>
        <v>2.779259875666944</v>
      </c>
      <c r="N15" s="27"/>
      <c r="P15" s="222"/>
    </row>
    <row r="16" spans="1:16" s="133" customFormat="1" x14ac:dyDescent="0.3">
      <c r="A16" s="5"/>
      <c r="B16" s="5"/>
      <c r="C16" s="88" t="s">
        <v>175</v>
      </c>
      <c r="D16" s="5"/>
      <c r="E16" s="5"/>
      <c r="F16" s="5"/>
      <c r="G16" s="5"/>
      <c r="H16" s="27"/>
      <c r="I16" s="89">
        <f>I12/I14</f>
        <v>0.28768085985944603</v>
      </c>
      <c r="J16" s="89">
        <f t="shared" ref="J16:M16" si="4">J12/J14</f>
        <v>0.32554639914009315</v>
      </c>
      <c r="K16" s="89">
        <f t="shared" si="4"/>
        <v>0.28411861228316926</v>
      </c>
      <c r="L16" s="89">
        <f t="shared" si="4"/>
        <v>0.18493235638652181</v>
      </c>
      <c r="M16" s="89">
        <f t="shared" si="4"/>
        <v>0.11184101032845463</v>
      </c>
      <c r="N16" s="27"/>
      <c r="P16" s="222"/>
    </row>
    <row r="17" spans="1:22" s="133" customFormat="1" x14ac:dyDescent="0.3">
      <c r="A17" s="5"/>
      <c r="B17" s="5"/>
      <c r="C17" s="90"/>
      <c r="D17" s="5"/>
      <c r="E17" s="5"/>
      <c r="F17" s="5"/>
      <c r="G17" s="5"/>
      <c r="H17" s="27"/>
      <c r="I17" s="32"/>
      <c r="J17" s="32"/>
      <c r="K17" s="32"/>
      <c r="L17" s="32"/>
      <c r="M17" s="32"/>
      <c r="N17" s="27"/>
      <c r="P17" s="222"/>
    </row>
    <row r="18" spans="1:22" s="133" customFormat="1" x14ac:dyDescent="0.3">
      <c r="A18" s="5"/>
      <c r="B18" s="86" t="s">
        <v>193</v>
      </c>
      <c r="C18" s="5"/>
      <c r="D18" s="5"/>
      <c r="E18" s="5"/>
      <c r="F18" s="5"/>
      <c r="G18" s="5"/>
      <c r="H18" s="27"/>
      <c r="I18" s="89"/>
      <c r="J18" s="89"/>
      <c r="K18" s="89"/>
      <c r="L18" s="89"/>
      <c r="M18" s="89"/>
      <c r="N18" s="27"/>
      <c r="P18" s="222"/>
    </row>
    <row r="19" spans="1:22" s="133" customFormat="1" x14ac:dyDescent="0.3">
      <c r="A19" s="5"/>
      <c r="B19" s="5"/>
      <c r="C19" s="90" t="s">
        <v>13</v>
      </c>
      <c r="D19" s="5"/>
      <c r="E19" s="5"/>
      <c r="F19" s="5"/>
      <c r="G19" s="5"/>
      <c r="H19" s="5"/>
      <c r="I19" s="15"/>
      <c r="J19" s="15"/>
      <c r="K19" s="15"/>
      <c r="L19" s="15">
        <v>26181</v>
      </c>
      <c r="M19" s="15">
        <v>26946</v>
      </c>
      <c r="N19" s="27"/>
      <c r="P19" s="222"/>
    </row>
    <row r="20" spans="1:22" s="133" customFormat="1" x14ac:dyDescent="0.3">
      <c r="A20" s="5"/>
      <c r="B20" s="5"/>
      <c r="C20" s="90" t="s">
        <v>14</v>
      </c>
      <c r="D20" s="5"/>
      <c r="E20" s="5"/>
      <c r="F20" s="5"/>
      <c r="G20" s="5"/>
      <c r="H20" s="27"/>
      <c r="I20" s="15"/>
      <c r="J20" s="15"/>
      <c r="K20" s="15"/>
      <c r="L20" s="15">
        <v>22121</v>
      </c>
      <c r="M20" s="15">
        <v>19256</v>
      </c>
      <c r="N20" s="27"/>
      <c r="P20" s="222"/>
    </row>
    <row r="21" spans="1:22" x14ac:dyDescent="0.3">
      <c r="A21" s="13"/>
      <c r="B21" s="23"/>
      <c r="C21" s="90" t="s">
        <v>15</v>
      </c>
      <c r="D21" s="5"/>
      <c r="E21" s="5"/>
      <c r="F21" s="5"/>
      <c r="G21" s="5"/>
      <c r="H21" s="27"/>
      <c r="I21" s="15"/>
      <c r="J21" s="15"/>
      <c r="K21" s="15"/>
      <c r="L21" s="15">
        <v>18871</v>
      </c>
      <c r="M21" s="15">
        <v>20065</v>
      </c>
      <c r="N21" s="27"/>
      <c r="R21" s="258"/>
      <c r="S21" s="258"/>
      <c r="T21" s="258"/>
      <c r="U21" s="258"/>
    </row>
    <row r="22" spans="1:22" s="133" customFormat="1" x14ac:dyDescent="0.3">
      <c r="A22" s="5"/>
      <c r="B22" s="23"/>
      <c r="C22" s="90" t="s">
        <v>16</v>
      </c>
      <c r="D22" s="5"/>
      <c r="E22" s="5"/>
      <c r="F22" s="5"/>
      <c r="G22" s="5"/>
      <c r="H22" s="27"/>
      <c r="I22" s="15"/>
      <c r="J22" s="15"/>
      <c r="K22" s="15"/>
      <c r="L22" s="15">
        <v>-25534</v>
      </c>
      <c r="M22" s="15">
        <v>-25406</v>
      </c>
      <c r="N22" s="27"/>
      <c r="P22" s="222"/>
      <c r="R22" s="258"/>
      <c r="S22" s="258"/>
      <c r="T22" s="258"/>
      <c r="U22" s="258"/>
    </row>
    <row r="23" spans="1:22" s="133" customFormat="1" x14ac:dyDescent="0.3">
      <c r="A23" s="5"/>
      <c r="B23" s="5"/>
      <c r="C23" s="90" t="s">
        <v>159</v>
      </c>
      <c r="D23" s="5"/>
      <c r="E23" s="5"/>
      <c r="F23" s="5"/>
      <c r="G23" s="5"/>
      <c r="H23" s="27"/>
      <c r="I23" s="15"/>
      <c r="J23" s="15"/>
      <c r="K23" s="15"/>
      <c r="L23" s="96">
        <f>SUM(L19:L22)</f>
        <v>41639</v>
      </c>
      <c r="M23" s="96">
        <f>SUM(M19:M22)</f>
        <v>40861</v>
      </c>
      <c r="N23" s="27"/>
      <c r="P23" s="222"/>
      <c r="R23" s="258"/>
      <c r="S23" s="258"/>
      <c r="T23" s="258"/>
      <c r="U23" s="258"/>
    </row>
    <row r="24" spans="1:22" s="133" customFormat="1" x14ac:dyDescent="0.3">
      <c r="A24" s="5"/>
      <c r="B24" s="23"/>
      <c r="C24" s="92"/>
      <c r="D24" s="5"/>
      <c r="E24" s="5"/>
      <c r="F24" s="5"/>
      <c r="G24" s="5"/>
      <c r="H24" s="27"/>
      <c r="I24" s="97"/>
      <c r="J24" s="97"/>
      <c r="K24" s="97"/>
      <c r="L24" s="97"/>
      <c r="M24" s="97"/>
      <c r="N24" s="27"/>
      <c r="P24" s="222"/>
      <c r="R24" s="258"/>
      <c r="S24" s="258"/>
      <c r="T24" s="258"/>
      <c r="U24" s="258"/>
    </row>
    <row r="25" spans="1:22" s="133" customFormat="1" x14ac:dyDescent="0.3">
      <c r="A25" s="5"/>
      <c r="B25" s="25" t="s">
        <v>157</v>
      </c>
      <c r="C25" s="92"/>
      <c r="D25" s="5"/>
      <c r="E25" s="5"/>
      <c r="F25" s="5"/>
      <c r="G25" s="5"/>
      <c r="H25" s="27"/>
      <c r="I25" s="27"/>
      <c r="J25" s="27"/>
      <c r="K25" s="27"/>
      <c r="L25" s="110">
        <f>L12</f>
        <v>8051.4</v>
      </c>
      <c r="M25" s="110">
        <f>M12</f>
        <v>4569.5999999999995</v>
      </c>
      <c r="N25" s="27"/>
      <c r="P25" s="222"/>
      <c r="R25" s="258"/>
      <c r="S25" s="258"/>
      <c r="T25" s="258"/>
      <c r="U25" s="258"/>
    </row>
    <row r="26" spans="1:22" s="133" customFormat="1" x14ac:dyDescent="0.3">
      <c r="A26" s="5"/>
      <c r="B26" s="88" t="s">
        <v>182</v>
      </c>
      <c r="C26" s="5"/>
      <c r="D26" s="5"/>
      <c r="E26" s="5"/>
      <c r="F26" s="5"/>
      <c r="G26" s="5"/>
      <c r="H26" s="27"/>
      <c r="I26" s="27"/>
      <c r="J26" s="27"/>
      <c r="K26" s="27"/>
      <c r="L26" s="91">
        <f>L13</f>
        <v>6.3356441954344075E-2</v>
      </c>
      <c r="M26" s="91">
        <f>M13</f>
        <v>4.0241292765620176E-2</v>
      </c>
      <c r="N26" s="27"/>
      <c r="P26" s="222"/>
      <c r="R26" s="258"/>
      <c r="S26" s="258"/>
      <c r="T26" s="258"/>
      <c r="U26" s="258"/>
    </row>
    <row r="27" spans="1:22" s="133" customFormat="1" x14ac:dyDescent="0.3">
      <c r="A27" s="5"/>
      <c r="B27" s="25" t="s">
        <v>12</v>
      </c>
      <c r="C27" s="92"/>
      <c r="D27" s="5"/>
      <c r="E27" s="5"/>
      <c r="F27" s="5"/>
      <c r="G27" s="5"/>
      <c r="H27" s="27"/>
      <c r="I27" s="27"/>
      <c r="J27" s="27"/>
      <c r="K27" s="27"/>
      <c r="L27" s="98">
        <f>L15</f>
        <v>2.9189195397018626</v>
      </c>
      <c r="M27" s="98">
        <f>M15</f>
        <v>2.779259875666944</v>
      </c>
      <c r="N27" s="27"/>
      <c r="P27" s="222"/>
      <c r="R27" s="258"/>
      <c r="S27" s="258"/>
      <c r="T27" s="258"/>
      <c r="U27" s="258"/>
    </row>
    <row r="28" spans="1:22" s="133" customFormat="1" x14ac:dyDescent="0.3">
      <c r="A28" s="5"/>
      <c r="B28" s="25" t="s">
        <v>11</v>
      </c>
      <c r="C28" s="92"/>
      <c r="D28" s="5"/>
      <c r="E28" s="5"/>
      <c r="F28" s="5"/>
      <c r="G28" s="5"/>
      <c r="H28" s="27"/>
      <c r="I28" s="15"/>
      <c r="J28" s="15"/>
      <c r="K28" s="15"/>
      <c r="L28" s="99">
        <f>L16</f>
        <v>0.18493235638652181</v>
      </c>
      <c r="M28" s="99">
        <f>M16</f>
        <v>0.11184101032845463</v>
      </c>
      <c r="N28" s="27"/>
      <c r="P28" s="222"/>
      <c r="R28" s="258"/>
      <c r="S28" s="258"/>
      <c r="T28" s="258"/>
      <c r="U28" s="258"/>
    </row>
    <row r="29" spans="1:22" s="133" customFormat="1" ht="18" x14ac:dyDescent="0.35">
      <c r="A29" s="5"/>
      <c r="B29" s="5"/>
      <c r="C29" s="92"/>
      <c r="D29" s="5"/>
      <c r="E29" s="5"/>
      <c r="F29" s="5"/>
      <c r="G29" s="5"/>
      <c r="H29" s="27"/>
      <c r="I29" s="97"/>
      <c r="J29" s="97"/>
      <c r="K29" s="97"/>
      <c r="L29" s="5"/>
      <c r="M29" s="5"/>
      <c r="N29" s="27"/>
      <c r="P29" s="222"/>
      <c r="R29" s="259"/>
      <c r="S29" s="194"/>
      <c r="T29" s="194"/>
      <c r="U29" s="194"/>
      <c r="V29" s="194"/>
    </row>
    <row r="30" spans="1:22" ht="17.25" thickBot="1" x14ac:dyDescent="0.35">
      <c r="A30" s="13"/>
      <c r="B30" s="25" t="s">
        <v>185</v>
      </c>
      <c r="C30" s="92"/>
      <c r="D30" s="5"/>
      <c r="E30" s="5"/>
      <c r="F30" s="5"/>
      <c r="G30" s="5"/>
      <c r="H30" s="27"/>
      <c r="I30" s="97"/>
      <c r="J30" s="97"/>
      <c r="K30" s="97"/>
      <c r="L30" s="100"/>
      <c r="M30" s="117">
        <f>(M28-L28)*100</f>
        <v>-7.3091346058067179</v>
      </c>
      <c r="N30" s="27"/>
      <c r="R30" s="260"/>
      <c r="S30" s="258"/>
      <c r="T30" s="258"/>
      <c r="U30" s="258"/>
      <c r="V30" s="258"/>
    </row>
    <row r="31" spans="1:22" s="133" customFormat="1" ht="17.25" thickBot="1" x14ac:dyDescent="0.35">
      <c r="A31" s="5"/>
      <c r="B31" s="25" t="s">
        <v>184</v>
      </c>
      <c r="C31" s="92"/>
      <c r="D31" s="5"/>
      <c r="E31" s="5"/>
      <c r="F31" s="5"/>
      <c r="G31" s="5"/>
      <c r="H31" s="27"/>
      <c r="I31" s="27"/>
      <c r="J31" s="27"/>
      <c r="K31" s="27"/>
      <c r="L31" s="27"/>
      <c r="M31" s="101">
        <f>(M28/L28)-1</f>
        <v>-0.39523287047346678</v>
      </c>
      <c r="N31" s="27"/>
      <c r="P31" s="222"/>
      <c r="R31" s="260"/>
      <c r="S31" s="258"/>
      <c r="T31" s="258"/>
      <c r="U31" s="258"/>
      <c r="V31" s="258"/>
    </row>
    <row r="32" spans="1:22" x14ac:dyDescent="0.3">
      <c r="A32" s="13"/>
      <c r="B32" s="5"/>
      <c r="C32" s="12"/>
      <c r="D32" s="5"/>
      <c r="E32" s="5"/>
      <c r="F32" s="6"/>
      <c r="G32" s="13"/>
      <c r="H32" s="102"/>
      <c r="I32" s="103"/>
      <c r="J32" s="103"/>
      <c r="K32" s="103"/>
      <c r="L32" s="103"/>
      <c r="M32" s="103"/>
      <c r="N32" s="102"/>
    </row>
    <row r="33" spans="1:14" x14ac:dyDescent="0.3">
      <c r="A33" s="13"/>
      <c r="B33" s="5"/>
      <c r="C33" s="13"/>
      <c r="D33" s="13"/>
      <c r="E33" s="13"/>
      <c r="F33" s="13"/>
      <c r="G33" s="13"/>
      <c r="H33" s="13"/>
      <c r="I33" s="13"/>
      <c r="J33" s="13"/>
      <c r="K33" s="13"/>
      <c r="L33" s="13"/>
      <c r="M33" s="13"/>
      <c r="N33" s="5"/>
    </row>
    <row r="34" spans="1:14" x14ac:dyDescent="0.3">
      <c r="A34" s="5"/>
      <c r="B34" s="17"/>
      <c r="C34" s="17"/>
      <c r="D34" s="17"/>
      <c r="E34" s="17"/>
      <c r="F34" s="17"/>
      <c r="G34" s="17"/>
      <c r="H34" s="17"/>
      <c r="I34" s="17"/>
      <c r="J34" s="17"/>
      <c r="K34" s="17"/>
      <c r="L34" s="17"/>
      <c r="M34" s="17"/>
      <c r="N34" s="17"/>
    </row>
    <row r="35" spans="1:14" x14ac:dyDescent="0.3">
      <c r="A35" s="5" t="s">
        <v>29</v>
      </c>
      <c r="B35" s="106" t="s">
        <v>280</v>
      </c>
      <c r="C35" s="107"/>
      <c r="D35" s="107"/>
      <c r="E35" s="107"/>
      <c r="F35" s="107"/>
      <c r="G35" s="107"/>
      <c r="H35" s="107"/>
      <c r="I35" s="107"/>
      <c r="J35" s="107"/>
      <c r="K35" s="107"/>
      <c r="L35" s="107"/>
      <c r="M35" s="107"/>
      <c r="N35" s="107"/>
    </row>
    <row r="36" spans="1:14" x14ac:dyDescent="0.3">
      <c r="A36" s="5"/>
      <c r="B36" s="5"/>
      <c r="C36" s="5"/>
      <c r="D36" s="5"/>
      <c r="E36" s="5"/>
      <c r="F36" s="5"/>
      <c r="G36" s="5"/>
      <c r="H36" s="5"/>
      <c r="I36" s="5"/>
      <c r="J36" s="5"/>
      <c r="K36" s="5"/>
      <c r="L36" s="5"/>
      <c r="M36" s="5"/>
      <c r="N36" s="5"/>
    </row>
    <row r="37" spans="1:14" x14ac:dyDescent="0.3">
      <c r="A37" s="5"/>
      <c r="B37" s="5"/>
      <c r="C37" s="5"/>
      <c r="D37" s="5"/>
      <c r="E37" s="5"/>
      <c r="F37" s="5"/>
      <c r="G37" s="5"/>
      <c r="H37" s="5"/>
      <c r="I37" s="5"/>
      <c r="J37" s="5"/>
      <c r="K37" s="5"/>
      <c r="L37" s="5"/>
      <c r="M37" s="5"/>
      <c r="N37" s="5"/>
    </row>
    <row r="38" spans="1:14" x14ac:dyDescent="0.3">
      <c r="A38" s="5"/>
      <c r="B38" s="5"/>
      <c r="C38" s="5"/>
      <c r="D38" s="5"/>
      <c r="E38" s="5"/>
      <c r="F38" s="5"/>
      <c r="G38" s="5"/>
      <c r="H38" s="5"/>
      <c r="I38" s="5"/>
      <c r="J38" s="5"/>
      <c r="K38" s="5"/>
      <c r="L38" s="5"/>
      <c r="M38" s="5"/>
      <c r="N38" s="5"/>
    </row>
    <row r="39" spans="1:14" x14ac:dyDescent="0.3">
      <c r="A39" s="5"/>
      <c r="B39" s="5"/>
      <c r="C39" s="5"/>
      <c r="D39" s="5"/>
      <c r="E39" s="5"/>
      <c r="F39" s="5"/>
      <c r="G39" s="5"/>
      <c r="H39" s="5"/>
      <c r="I39" s="5"/>
      <c r="J39" s="5"/>
      <c r="K39" s="5"/>
      <c r="L39" s="5"/>
      <c r="M39" s="5"/>
      <c r="N39" s="5"/>
    </row>
    <row r="40" spans="1:14" x14ac:dyDescent="0.3">
      <c r="A40" s="5"/>
      <c r="B40" s="5"/>
      <c r="C40" s="5"/>
      <c r="D40" s="5"/>
      <c r="E40" s="5"/>
      <c r="F40" s="5"/>
      <c r="G40" s="5"/>
      <c r="H40" s="5"/>
      <c r="I40" s="5"/>
      <c r="J40" s="5"/>
      <c r="K40" s="5"/>
      <c r="L40" s="5"/>
      <c r="M40" s="5"/>
      <c r="N40" s="5"/>
    </row>
    <row r="41" spans="1:14" x14ac:dyDescent="0.3">
      <c r="A41" s="5"/>
      <c r="B41" s="5"/>
      <c r="C41" s="5"/>
      <c r="D41" s="5"/>
      <c r="E41" s="5"/>
      <c r="F41" s="5"/>
      <c r="G41" s="5"/>
      <c r="H41" s="5"/>
      <c r="I41" s="5"/>
      <c r="J41" s="5"/>
      <c r="K41" s="5"/>
      <c r="L41" s="5"/>
      <c r="M41" s="5"/>
      <c r="N41" s="5"/>
    </row>
    <row r="42" spans="1:14" x14ac:dyDescent="0.3">
      <c r="A42" s="5"/>
      <c r="B42" s="5"/>
      <c r="C42" s="5"/>
      <c r="D42" s="5"/>
      <c r="E42" s="5"/>
      <c r="F42" s="5"/>
      <c r="G42" s="5"/>
      <c r="H42" s="5"/>
      <c r="I42" s="5"/>
      <c r="J42" s="5"/>
      <c r="K42" s="5"/>
      <c r="L42" s="5"/>
      <c r="M42" s="5"/>
      <c r="N42" s="5"/>
    </row>
    <row r="43" spans="1:14" x14ac:dyDescent="0.3">
      <c r="A43" s="13"/>
      <c r="B43" s="13"/>
      <c r="C43" s="13"/>
      <c r="D43" s="5"/>
      <c r="E43" s="5"/>
      <c r="F43" s="5"/>
      <c r="G43" s="5"/>
      <c r="H43" s="5"/>
      <c r="I43" s="5"/>
      <c r="J43" s="5"/>
      <c r="K43" s="5"/>
      <c r="L43" s="5"/>
      <c r="M43" s="13"/>
      <c r="N43" s="13"/>
    </row>
    <row r="44" spans="1:14" x14ac:dyDescent="0.3">
      <c r="A44" s="13"/>
      <c r="B44" s="13"/>
      <c r="C44" s="13"/>
      <c r="D44" s="5"/>
      <c r="E44" s="5"/>
      <c r="F44" s="5"/>
      <c r="G44" s="5"/>
      <c r="H44" s="5"/>
      <c r="I44" s="5"/>
      <c r="J44" s="5"/>
      <c r="K44" s="5"/>
      <c r="L44" s="5"/>
      <c r="M44" s="13"/>
      <c r="N44" s="13"/>
    </row>
    <row r="45" spans="1:14" x14ac:dyDescent="0.3">
      <c r="A45" s="13"/>
      <c r="B45" s="13"/>
      <c r="C45" s="13"/>
      <c r="D45" s="5"/>
      <c r="E45" s="5"/>
      <c r="F45" s="5"/>
      <c r="G45" s="5"/>
      <c r="H45" s="5"/>
      <c r="I45" s="5"/>
      <c r="J45" s="5"/>
      <c r="K45" s="5"/>
      <c r="L45" s="5"/>
      <c r="M45" s="13"/>
      <c r="N45" s="13"/>
    </row>
    <row r="46" spans="1:14" x14ac:dyDescent="0.3">
      <c r="A46" s="5"/>
      <c r="B46" s="5"/>
      <c r="C46" s="5"/>
      <c r="D46" s="5"/>
      <c r="E46" s="5"/>
      <c r="F46" s="5"/>
      <c r="G46" s="5"/>
      <c r="H46" s="5"/>
      <c r="I46" s="5"/>
      <c r="J46" s="5"/>
      <c r="K46" s="5"/>
      <c r="L46" s="5"/>
      <c r="M46" s="5"/>
      <c r="N46" s="5"/>
    </row>
    <row r="47" spans="1:14" x14ac:dyDescent="0.3">
      <c r="A47" s="5"/>
      <c r="B47" s="5"/>
      <c r="C47" s="5"/>
      <c r="D47" s="5"/>
      <c r="E47" s="5"/>
      <c r="F47" s="5"/>
      <c r="G47" s="5"/>
      <c r="H47" s="5"/>
      <c r="I47" s="5"/>
      <c r="J47" s="5"/>
      <c r="K47" s="5"/>
      <c r="L47" s="5"/>
      <c r="M47" s="5"/>
      <c r="N47" s="5"/>
    </row>
    <row r="48" spans="1:14" x14ac:dyDescent="0.3">
      <c r="A48" s="5"/>
      <c r="B48" s="5"/>
      <c r="C48" s="5"/>
      <c r="D48" s="5"/>
      <c r="E48" s="5"/>
      <c r="F48" s="5"/>
      <c r="G48" s="5"/>
      <c r="H48" s="5"/>
      <c r="I48" s="5"/>
      <c r="J48" s="5"/>
      <c r="K48" s="5"/>
      <c r="L48" s="5"/>
      <c r="M48" s="5"/>
      <c r="N48" s="5"/>
    </row>
    <row r="49" spans="1:16" x14ac:dyDescent="0.3">
      <c r="A49" s="5"/>
      <c r="B49" s="5"/>
      <c r="C49" s="5"/>
      <c r="D49" s="5"/>
      <c r="E49" s="5"/>
      <c r="F49" s="5"/>
      <c r="G49" s="5"/>
      <c r="H49" s="5"/>
      <c r="I49" s="5"/>
      <c r="J49" s="5"/>
      <c r="K49" s="5"/>
      <c r="L49" s="5"/>
      <c r="M49" s="5"/>
      <c r="N49" s="5"/>
    </row>
    <row r="50" spans="1:16" x14ac:dyDescent="0.3">
      <c r="A50" s="5"/>
      <c r="B50" s="5"/>
      <c r="C50" s="5"/>
      <c r="D50" s="5"/>
      <c r="E50" s="5"/>
      <c r="F50" s="5"/>
      <c r="G50" s="5"/>
      <c r="H50" s="5"/>
      <c r="I50" s="5"/>
      <c r="J50" s="5"/>
      <c r="K50" s="5"/>
      <c r="L50" s="5"/>
      <c r="M50" s="5"/>
      <c r="N50" s="5"/>
    </row>
    <row r="51" spans="1:16" x14ac:dyDescent="0.3">
      <c r="A51" s="5"/>
      <c r="B51" s="5"/>
      <c r="C51" s="5"/>
      <c r="D51" s="5"/>
      <c r="E51" s="5"/>
      <c r="F51" s="5"/>
      <c r="G51" s="5"/>
      <c r="H51" s="5"/>
      <c r="I51" s="5"/>
      <c r="J51" s="5"/>
      <c r="K51" s="5"/>
      <c r="L51" s="5"/>
      <c r="M51" s="5"/>
      <c r="N51" s="5"/>
    </row>
    <row r="52" spans="1:16" x14ac:dyDescent="0.3">
      <c r="A52" s="5"/>
      <c r="B52" s="5"/>
      <c r="C52" s="5"/>
      <c r="D52" s="5"/>
      <c r="E52" s="5"/>
      <c r="F52" s="5"/>
      <c r="G52" s="5"/>
      <c r="H52" s="5"/>
      <c r="I52" s="5"/>
      <c r="J52" s="5"/>
      <c r="K52" s="5"/>
      <c r="L52" s="5"/>
      <c r="M52" s="5"/>
      <c r="N52" s="5"/>
    </row>
    <row r="53" spans="1:16" x14ac:dyDescent="0.3">
      <c r="A53" s="5"/>
      <c r="B53" s="5"/>
      <c r="C53" s="5"/>
      <c r="D53" s="5"/>
      <c r="E53" s="5"/>
      <c r="F53" s="5"/>
      <c r="G53" s="5"/>
      <c r="H53" s="5"/>
      <c r="I53" s="5"/>
      <c r="J53" s="5"/>
      <c r="K53" s="5"/>
      <c r="L53" s="5"/>
      <c r="M53" s="5"/>
      <c r="N53" s="5"/>
    </row>
    <row r="54" spans="1:16" x14ac:dyDescent="0.3">
      <c r="A54" s="5"/>
      <c r="B54" s="5"/>
      <c r="C54" s="5"/>
      <c r="D54" s="5"/>
      <c r="E54" s="5"/>
      <c r="F54" s="5"/>
      <c r="G54" s="5"/>
      <c r="H54" s="5"/>
      <c r="I54" s="5"/>
      <c r="J54" s="5"/>
      <c r="K54" s="5"/>
      <c r="L54" s="5"/>
      <c r="M54" s="5"/>
      <c r="N54" s="5"/>
    </row>
    <row r="55" spans="1:16" x14ac:dyDescent="0.3">
      <c r="A55" s="5"/>
      <c r="B55" s="5"/>
      <c r="C55" s="5"/>
      <c r="D55" s="5"/>
      <c r="E55" s="5"/>
      <c r="F55" s="5"/>
      <c r="G55" s="5"/>
      <c r="H55" s="5"/>
      <c r="I55" s="5"/>
      <c r="J55" s="5"/>
      <c r="K55" s="5"/>
      <c r="L55" s="5"/>
      <c r="M55" s="5"/>
      <c r="N55" s="5"/>
    </row>
    <row r="56" spans="1:16" x14ac:dyDescent="0.3">
      <c r="A56" s="5"/>
      <c r="B56" s="5"/>
      <c r="C56" s="5"/>
      <c r="D56" s="5"/>
      <c r="E56" s="5"/>
      <c r="F56" s="5"/>
      <c r="G56" s="5"/>
      <c r="H56" s="5"/>
      <c r="I56" s="5"/>
      <c r="J56" s="5"/>
      <c r="K56" s="5"/>
      <c r="L56" s="5"/>
      <c r="M56" s="5"/>
      <c r="N56" s="5"/>
    </row>
    <row r="57" spans="1:16" x14ac:dyDescent="0.3">
      <c r="A57" s="5"/>
      <c r="B57" s="5"/>
      <c r="C57" s="5"/>
      <c r="D57" s="5"/>
      <c r="E57" s="5"/>
      <c r="F57" s="5"/>
      <c r="G57" s="5"/>
      <c r="H57" s="5"/>
      <c r="I57" s="5"/>
      <c r="J57" s="5"/>
      <c r="K57" s="5"/>
      <c r="L57" s="5"/>
      <c r="M57" s="5"/>
      <c r="N57" s="5"/>
    </row>
    <row r="58" spans="1:16" x14ac:dyDescent="0.3">
      <c r="A58" s="5"/>
      <c r="B58" s="5"/>
      <c r="C58" s="5"/>
      <c r="D58" s="5"/>
      <c r="E58" s="5"/>
      <c r="F58" s="5"/>
      <c r="G58" s="5"/>
      <c r="H58" s="5"/>
      <c r="I58" s="5"/>
      <c r="J58" s="5"/>
      <c r="K58" s="5"/>
      <c r="L58" s="5"/>
      <c r="M58" s="5"/>
      <c r="N58" s="5"/>
    </row>
    <row r="59" spans="1:16" x14ac:dyDescent="0.3">
      <c r="A59" s="5"/>
      <c r="B59" s="5"/>
      <c r="C59" s="5"/>
      <c r="D59" s="5"/>
      <c r="E59" s="5"/>
      <c r="F59" s="5"/>
      <c r="G59" s="5"/>
      <c r="H59" s="5"/>
      <c r="I59" s="5"/>
      <c r="J59" s="5"/>
      <c r="K59" s="5"/>
      <c r="L59" s="5"/>
      <c r="M59" s="5"/>
      <c r="N59" s="5"/>
    </row>
    <row r="60" spans="1:16" x14ac:dyDescent="0.3">
      <c r="A60" s="5"/>
      <c r="B60" s="5"/>
      <c r="C60" s="5"/>
      <c r="D60" s="5"/>
      <c r="E60" s="5"/>
      <c r="F60" s="5"/>
      <c r="G60" s="5"/>
      <c r="H60" s="5"/>
      <c r="I60" s="5"/>
      <c r="J60" s="5"/>
      <c r="K60" s="5"/>
      <c r="L60" s="5"/>
      <c r="M60" s="5"/>
      <c r="N60" s="5"/>
    </row>
    <row r="61" spans="1:16" x14ac:dyDescent="0.3">
      <c r="A61" s="5"/>
      <c r="B61" s="5"/>
      <c r="C61" s="5"/>
      <c r="D61" s="5"/>
      <c r="E61" s="5"/>
      <c r="F61" s="5"/>
      <c r="G61" s="5"/>
      <c r="H61" s="5"/>
      <c r="I61" s="5"/>
      <c r="J61" s="5"/>
      <c r="K61" s="5"/>
      <c r="L61" s="5"/>
      <c r="M61" s="5"/>
      <c r="N61" s="5"/>
    </row>
    <row r="62" spans="1:16" s="133" customFormat="1" x14ac:dyDescent="0.3">
      <c r="A62" s="5"/>
      <c r="B62" s="5"/>
      <c r="C62" s="5"/>
      <c r="D62" s="5"/>
      <c r="E62" s="5"/>
      <c r="F62" s="5"/>
      <c r="G62" s="5"/>
      <c r="H62" s="5"/>
      <c r="I62" s="5"/>
      <c r="J62" s="5"/>
      <c r="K62" s="5"/>
      <c r="L62" s="5"/>
      <c r="M62" s="5"/>
      <c r="N62" s="5"/>
      <c r="P62" s="222"/>
    </row>
    <row r="63" spans="1:16" s="133" customFormat="1" x14ac:dyDescent="0.3">
      <c r="A63" s="5"/>
      <c r="B63" s="5"/>
      <c r="C63" s="5"/>
      <c r="D63" s="5"/>
      <c r="E63" s="5"/>
      <c r="F63" s="5"/>
      <c r="G63" s="5"/>
      <c r="H63" s="5"/>
      <c r="I63" s="5"/>
      <c r="J63" s="5"/>
      <c r="K63" s="5"/>
      <c r="L63" s="5"/>
      <c r="M63" s="5"/>
      <c r="N63" s="5"/>
      <c r="P63" s="222"/>
    </row>
    <row r="64" spans="1:16" x14ac:dyDescent="0.3">
      <c r="A64" s="5"/>
      <c r="B64" s="5"/>
      <c r="C64" s="5"/>
      <c r="D64" s="5"/>
      <c r="E64" s="5"/>
      <c r="F64" s="5"/>
      <c r="G64" s="5"/>
      <c r="H64" s="5"/>
      <c r="I64" s="5"/>
      <c r="J64" s="5"/>
      <c r="K64" s="5"/>
      <c r="L64" s="5"/>
      <c r="M64" s="5"/>
      <c r="N64" s="5"/>
    </row>
    <row r="65" spans="1:14" x14ac:dyDescent="0.3">
      <c r="A65" s="5"/>
      <c r="B65" s="119"/>
      <c r="C65" s="119"/>
      <c r="D65" s="119"/>
      <c r="E65" s="119"/>
      <c r="F65" s="119"/>
      <c r="G65" s="119"/>
      <c r="H65" s="119"/>
      <c r="I65" s="119"/>
      <c r="J65" s="119"/>
      <c r="K65" s="119"/>
      <c r="L65" s="119"/>
      <c r="M65" s="119"/>
      <c r="N65" s="119"/>
    </row>
    <row r="66" spans="1:14" x14ac:dyDescent="0.3">
      <c r="A66" s="194" t="s">
        <v>29</v>
      </c>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57A3-C539-4465-BCF8-A2B44CCA6587}">
  <sheetPr>
    <outlinePr showOutlineSymbols="0"/>
    <pageSetUpPr autoPageBreaks="0"/>
  </sheetPr>
  <dimension ref="A1:V353"/>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5" width="9.140625" style="194"/>
    <col min="16" max="16" width="4.7109375" style="221" customWidth="1"/>
    <col min="17" max="17" width="20.28515625" style="194" bestFit="1" customWidth="1"/>
    <col min="18" max="19" width="10.28515625" style="194" bestFit="1" customWidth="1"/>
    <col min="20" max="21" width="11.28515625" style="194" bestFit="1" customWidth="1"/>
    <col min="22" max="16384" width="9.140625" style="194"/>
  </cols>
  <sheetData>
    <row r="1" spans="1:16" ht="6" customHeight="1" x14ac:dyDescent="0.3">
      <c r="A1" s="13"/>
      <c r="B1" s="13"/>
      <c r="C1" s="13"/>
      <c r="D1" s="13"/>
      <c r="E1" s="13"/>
      <c r="F1" s="13"/>
      <c r="G1" s="13"/>
      <c r="H1" s="13"/>
      <c r="I1" s="13"/>
      <c r="J1" s="13"/>
      <c r="K1" s="13"/>
      <c r="L1" s="13"/>
      <c r="M1" s="13"/>
      <c r="N1" s="13"/>
    </row>
    <row r="2" spans="1:16" ht="39.950000000000003" customHeight="1" x14ac:dyDescent="0.3">
      <c r="A2" s="13"/>
      <c r="B2" s="104"/>
      <c r="C2" s="104"/>
      <c r="D2" s="241" t="s">
        <v>28</v>
      </c>
      <c r="E2" s="104"/>
      <c r="F2" s="104"/>
      <c r="G2" s="104"/>
      <c r="H2" s="104"/>
      <c r="I2" s="105"/>
      <c r="J2" s="104"/>
      <c r="K2" s="104"/>
      <c r="L2" s="104"/>
      <c r="M2" s="104"/>
      <c r="N2" s="104"/>
    </row>
    <row r="3" spans="1:16" s="13" customFormat="1" ht="15" x14ac:dyDescent="0.3">
      <c r="P3" s="223"/>
    </row>
    <row r="4" spans="1:16" s="13" customFormat="1" ht="15" x14ac:dyDescent="0.3">
      <c r="A4" s="13" t="s">
        <v>29</v>
      </c>
      <c r="B4" s="106" t="s">
        <v>202</v>
      </c>
      <c r="C4" s="107"/>
      <c r="D4" s="107"/>
      <c r="E4" s="107"/>
      <c r="F4" s="107"/>
      <c r="G4" s="107"/>
      <c r="H4" s="107"/>
      <c r="I4" s="107"/>
      <c r="J4" s="107"/>
      <c r="K4" s="107"/>
      <c r="L4" s="107"/>
      <c r="M4" s="107"/>
      <c r="N4" s="107"/>
      <c r="P4" s="223"/>
    </row>
    <row r="5" spans="1:16" s="13" customFormat="1" ht="15" x14ac:dyDescent="0.3">
      <c r="P5" s="223"/>
    </row>
    <row r="6" spans="1:16" s="13" customFormat="1" ht="17.25" thickBot="1" x14ac:dyDescent="0.35">
      <c r="B6" s="240" t="s">
        <v>20</v>
      </c>
      <c r="H6" s="109"/>
      <c r="I6" s="200">
        <v>2021</v>
      </c>
      <c r="J6" s="200">
        <f>I6+1</f>
        <v>2022</v>
      </c>
      <c r="K6" s="200">
        <f t="shared" ref="K6:M6" si="0">J6+1</f>
        <v>2023</v>
      </c>
      <c r="L6" s="200">
        <f t="shared" si="0"/>
        <v>2024</v>
      </c>
      <c r="M6" s="200">
        <f t="shared" si="0"/>
        <v>2025</v>
      </c>
      <c r="P6" s="223"/>
    </row>
    <row r="7" spans="1:16" s="13" customFormat="1" ht="15" x14ac:dyDescent="0.3">
      <c r="B7" s="11"/>
      <c r="C7" s="12"/>
      <c r="F7" s="287"/>
      <c r="P7" s="223"/>
    </row>
    <row r="8" spans="1:16" s="5" customFormat="1" ht="15" x14ac:dyDescent="0.3">
      <c r="B8" s="21" t="s">
        <v>203</v>
      </c>
      <c r="C8" s="92"/>
      <c r="F8" s="286"/>
      <c r="H8" s="27"/>
      <c r="I8" s="32"/>
      <c r="J8" s="32"/>
      <c r="K8" s="32"/>
      <c r="L8" s="32"/>
      <c r="M8" s="32"/>
      <c r="P8" s="224"/>
    </row>
    <row r="9" spans="1:16" s="5" customFormat="1" ht="15" x14ac:dyDescent="0.3">
      <c r="C9" s="90" t="s">
        <v>205</v>
      </c>
      <c r="F9" s="285" t="s">
        <v>251</v>
      </c>
      <c r="H9" s="27"/>
      <c r="I9" s="32"/>
      <c r="J9" s="32"/>
      <c r="K9" s="32"/>
      <c r="L9" s="15">
        <v>641792</v>
      </c>
      <c r="M9" s="15">
        <v>635072</v>
      </c>
      <c r="P9" s="224"/>
    </row>
    <row r="10" spans="1:16" s="5" customFormat="1" ht="15" x14ac:dyDescent="0.3">
      <c r="C10" s="90" t="s">
        <v>206</v>
      </c>
      <c r="F10" s="285" t="s">
        <v>251</v>
      </c>
      <c r="H10" s="27"/>
      <c r="I10" s="94"/>
      <c r="J10" s="94"/>
      <c r="K10" s="94"/>
      <c r="L10" s="15">
        <v>365358</v>
      </c>
      <c r="M10" s="15">
        <v>320552</v>
      </c>
      <c r="P10" s="224"/>
    </row>
    <row r="11" spans="1:16" s="13" customFormat="1" ht="15" x14ac:dyDescent="0.3">
      <c r="C11" s="5" t="s">
        <v>215</v>
      </c>
      <c r="D11" s="5"/>
      <c r="E11" s="5"/>
      <c r="F11" s="285" t="s">
        <v>251</v>
      </c>
      <c r="G11" s="5"/>
      <c r="H11" s="5"/>
      <c r="I11" s="5"/>
      <c r="J11" s="5"/>
      <c r="K11" s="5"/>
      <c r="L11" s="15">
        <v>892147</v>
      </c>
      <c r="M11" s="15">
        <v>746981</v>
      </c>
      <c r="N11" s="27"/>
      <c r="P11" s="223"/>
    </row>
    <row r="12" spans="1:16" s="5" customFormat="1" ht="15" x14ac:dyDescent="0.3">
      <c r="C12" s="114" t="s">
        <v>204</v>
      </c>
      <c r="E12" s="128"/>
      <c r="F12" s="285" t="s">
        <v>251</v>
      </c>
      <c r="G12" s="128"/>
      <c r="H12" s="129"/>
      <c r="I12" s="130"/>
      <c r="J12" s="130"/>
      <c r="K12" s="130"/>
      <c r="L12" s="131">
        <v>683568</v>
      </c>
      <c r="M12" s="131">
        <v>551932</v>
      </c>
      <c r="N12" s="27"/>
      <c r="P12" s="224"/>
    </row>
    <row r="13" spans="1:16" s="5" customFormat="1" ht="15" x14ac:dyDescent="0.3">
      <c r="C13" s="137" t="s">
        <v>207</v>
      </c>
      <c r="E13" s="6"/>
      <c r="F13" s="285" t="s">
        <v>251</v>
      </c>
      <c r="G13" s="6"/>
      <c r="H13" s="28"/>
      <c r="I13" s="132"/>
      <c r="J13" s="132"/>
      <c r="K13" s="132"/>
      <c r="L13" s="132">
        <f>L11-L12</f>
        <v>208579</v>
      </c>
      <c r="M13" s="132">
        <f>M11-M12</f>
        <v>195049</v>
      </c>
      <c r="N13" s="27"/>
      <c r="P13" s="224"/>
    </row>
    <row r="14" spans="1:16" s="5" customFormat="1" ht="15" x14ac:dyDescent="0.3">
      <c r="C14" s="5" t="s">
        <v>216</v>
      </c>
      <c r="F14" s="285" t="s">
        <v>251</v>
      </c>
      <c r="H14" s="27"/>
      <c r="I14" s="7"/>
      <c r="J14" s="7"/>
      <c r="K14" s="7"/>
      <c r="L14" s="15">
        <v>84106</v>
      </c>
      <c r="M14" s="15">
        <v>98686</v>
      </c>
      <c r="N14" s="27"/>
      <c r="P14" s="224"/>
    </row>
    <row r="15" spans="1:16" s="5" customFormat="1" ht="15" x14ac:dyDescent="0.3">
      <c r="C15" s="21" t="s">
        <v>217</v>
      </c>
      <c r="F15" s="286"/>
      <c r="H15" s="27"/>
      <c r="I15" s="7"/>
      <c r="J15" s="7"/>
      <c r="K15" s="7"/>
      <c r="L15" s="127">
        <f>L9+L10+L11+L14</f>
        <v>1983403</v>
      </c>
      <c r="M15" s="127">
        <f>M9+M10+M11+M14</f>
        <v>1801291</v>
      </c>
      <c r="N15" s="27"/>
      <c r="P15" s="224"/>
    </row>
    <row r="16" spans="1:16" s="5" customFormat="1" ht="15" x14ac:dyDescent="0.3">
      <c r="H16" s="27"/>
      <c r="I16" s="7"/>
      <c r="J16" s="7"/>
      <c r="K16" s="7"/>
      <c r="L16" s="7"/>
      <c r="M16" s="126"/>
      <c r="N16" s="27"/>
      <c r="P16" s="224"/>
    </row>
    <row r="17" spans="2:21" s="13" customFormat="1" ht="15" x14ac:dyDescent="0.3">
      <c r="B17" s="23"/>
      <c r="C17" s="118" t="s">
        <v>208</v>
      </c>
      <c r="D17" s="119"/>
      <c r="E17" s="119"/>
      <c r="F17" s="119"/>
      <c r="G17" s="119"/>
      <c r="H17" s="120"/>
      <c r="I17" s="121"/>
      <c r="J17" s="121"/>
      <c r="K17" s="121"/>
      <c r="L17" s="121"/>
      <c r="M17" s="121"/>
      <c r="N17" s="27"/>
      <c r="P17" s="223"/>
    </row>
    <row r="18" spans="2:21" s="5" customFormat="1" ht="15" x14ac:dyDescent="0.3">
      <c r="B18" s="23"/>
      <c r="C18" s="90" t="s">
        <v>205</v>
      </c>
      <c r="H18" s="27"/>
      <c r="I18" s="95"/>
      <c r="J18" s="95"/>
      <c r="K18" s="95"/>
      <c r="L18" s="95"/>
      <c r="M18" s="89">
        <f>(M9/L9)-1</f>
        <v>-1.0470682090147565E-2</v>
      </c>
      <c r="N18" s="27"/>
      <c r="P18" s="224"/>
    </row>
    <row r="19" spans="2:21" s="5" customFormat="1" ht="15" x14ac:dyDescent="0.3">
      <c r="C19" s="90" t="s">
        <v>218</v>
      </c>
      <c r="H19" s="27"/>
      <c r="I19" s="89"/>
      <c r="J19" s="89"/>
      <c r="K19" s="89"/>
      <c r="M19" s="89">
        <f>(M10/L10)-1</f>
        <v>-0.12263588042413198</v>
      </c>
      <c r="N19" s="27"/>
      <c r="P19" s="224"/>
    </row>
    <row r="20" spans="2:21" s="5" customFormat="1" ht="15" x14ac:dyDescent="0.3">
      <c r="C20" s="90" t="s">
        <v>204</v>
      </c>
      <c r="H20" s="27"/>
      <c r="I20" s="32"/>
      <c r="J20" s="32"/>
      <c r="K20" s="32"/>
      <c r="L20" s="32"/>
      <c r="M20" s="89">
        <f>(M12/L12)-1</f>
        <v>-0.19257191676614471</v>
      </c>
      <c r="N20" s="27"/>
      <c r="P20" s="224"/>
    </row>
    <row r="21" spans="2:21" s="5" customFormat="1" ht="15" x14ac:dyDescent="0.3">
      <c r="B21" s="92"/>
      <c r="C21" s="5" t="s">
        <v>207</v>
      </c>
      <c r="H21" s="27"/>
      <c r="I21" s="89"/>
      <c r="J21" s="89"/>
      <c r="K21" s="89"/>
      <c r="L21" s="89"/>
      <c r="M21" s="89">
        <f t="shared" ref="M21" si="1">(M13/L13)-1</f>
        <v>-6.4867508234290105E-2</v>
      </c>
      <c r="N21" s="27"/>
      <c r="P21" s="224"/>
    </row>
    <row r="22" spans="2:21" s="5" customFormat="1" ht="15" x14ac:dyDescent="0.3">
      <c r="C22" s="90"/>
      <c r="I22" s="15"/>
      <c r="J22" s="15"/>
      <c r="K22" s="15"/>
      <c r="L22" s="15"/>
      <c r="M22" s="15"/>
      <c r="N22" s="27"/>
      <c r="P22" s="224"/>
    </row>
    <row r="23" spans="2:21" s="5" customFormat="1" ht="15" x14ac:dyDescent="0.3">
      <c r="B23" s="21" t="s">
        <v>209</v>
      </c>
      <c r="C23" s="90"/>
      <c r="H23" s="27"/>
      <c r="I23" s="15"/>
      <c r="J23" s="15"/>
      <c r="K23" s="15"/>
      <c r="L23" s="15"/>
      <c r="M23" s="15"/>
      <c r="N23" s="27"/>
      <c r="P23" s="224"/>
    </row>
    <row r="24" spans="2:21" s="13" customFormat="1" ht="15" x14ac:dyDescent="0.3">
      <c r="B24" s="23"/>
      <c r="C24" s="21" t="s">
        <v>200</v>
      </c>
      <c r="D24" s="5"/>
      <c r="E24" s="5"/>
      <c r="F24" s="5"/>
      <c r="G24" s="5"/>
      <c r="H24" s="27"/>
      <c r="I24" s="15"/>
      <c r="J24" s="15"/>
      <c r="K24" s="15"/>
      <c r="L24" s="15"/>
      <c r="M24" s="30">
        <f>'Segment Analysis'!L10</f>
        <v>8677</v>
      </c>
      <c r="N24" s="27"/>
      <c r="P24" s="223"/>
      <c r="R24" s="138"/>
      <c r="S24" s="138"/>
      <c r="T24" s="138"/>
      <c r="U24" s="138"/>
    </row>
    <row r="25" spans="2:21" s="5" customFormat="1" ht="15" x14ac:dyDescent="0.3">
      <c r="B25" s="23"/>
      <c r="C25" s="90" t="s">
        <v>222</v>
      </c>
      <c r="H25" s="27"/>
      <c r="I25" s="15"/>
      <c r="J25" s="15"/>
      <c r="K25" s="15"/>
      <c r="L25" s="15"/>
      <c r="M25" s="15">
        <v>-5815</v>
      </c>
      <c r="N25" s="27"/>
      <c r="P25" s="224"/>
      <c r="R25" s="138"/>
      <c r="S25" s="138"/>
      <c r="T25" s="138"/>
      <c r="U25" s="138"/>
    </row>
    <row r="26" spans="2:21" s="5" customFormat="1" ht="15" x14ac:dyDescent="0.3">
      <c r="C26" s="90" t="s">
        <v>223</v>
      </c>
      <c r="H26" s="27"/>
      <c r="I26" s="15"/>
      <c r="J26" s="15"/>
      <c r="K26" s="15"/>
      <c r="L26" s="32"/>
      <c r="M26" s="15">
        <v>-1498</v>
      </c>
      <c r="N26" s="27"/>
      <c r="P26" s="224"/>
      <c r="R26" s="138"/>
      <c r="S26" s="138"/>
      <c r="T26" s="138"/>
      <c r="U26" s="138"/>
    </row>
    <row r="27" spans="2:21" s="5" customFormat="1" ht="15" x14ac:dyDescent="0.3">
      <c r="B27" s="23"/>
      <c r="C27" s="92" t="s">
        <v>224</v>
      </c>
      <c r="H27" s="27"/>
      <c r="I27" s="97"/>
      <c r="J27" s="97"/>
      <c r="K27" s="97"/>
      <c r="L27" s="97"/>
      <c r="M27" s="15">
        <v>2730</v>
      </c>
      <c r="N27" s="27"/>
      <c r="P27" s="224"/>
      <c r="R27" s="138"/>
      <c r="S27" s="138"/>
      <c r="T27" s="138"/>
      <c r="U27" s="138"/>
    </row>
    <row r="28" spans="2:21" s="5" customFormat="1" ht="15" x14ac:dyDescent="0.3">
      <c r="B28" s="21"/>
      <c r="C28" s="92" t="s">
        <v>31</v>
      </c>
      <c r="H28" s="27"/>
      <c r="I28" s="27"/>
      <c r="J28" s="27"/>
      <c r="K28" s="27"/>
      <c r="L28" s="110"/>
      <c r="M28" s="15">
        <v>677</v>
      </c>
      <c r="N28" s="27"/>
      <c r="P28" s="224"/>
      <c r="R28" s="138"/>
      <c r="S28" s="138"/>
      <c r="T28" s="138"/>
      <c r="U28" s="138"/>
    </row>
    <row r="29" spans="2:21" s="5" customFormat="1" ht="15" x14ac:dyDescent="0.3">
      <c r="B29" s="21"/>
      <c r="C29" s="92" t="s">
        <v>32</v>
      </c>
      <c r="H29" s="27"/>
      <c r="I29" s="27"/>
      <c r="J29" s="27"/>
      <c r="K29" s="27"/>
      <c r="L29" s="110"/>
      <c r="M29" s="15">
        <v>185</v>
      </c>
      <c r="N29" s="27"/>
      <c r="P29" s="224"/>
      <c r="R29" s="138"/>
      <c r="S29" s="138"/>
      <c r="T29" s="138"/>
      <c r="U29" s="138"/>
    </row>
    <row r="30" spans="2:21" s="5" customFormat="1" ht="15" x14ac:dyDescent="0.3">
      <c r="B30" s="21"/>
      <c r="C30" s="92" t="s">
        <v>225</v>
      </c>
      <c r="H30" s="27"/>
      <c r="I30" s="27"/>
      <c r="J30" s="27"/>
      <c r="K30" s="27"/>
      <c r="L30" s="110"/>
      <c r="M30" s="15">
        <v>-42</v>
      </c>
      <c r="N30" s="27"/>
      <c r="P30" s="224"/>
      <c r="R30" s="138"/>
      <c r="S30" s="138"/>
      <c r="T30" s="138"/>
      <c r="U30" s="138"/>
    </row>
    <row r="31" spans="2:21" s="5" customFormat="1" ht="15" x14ac:dyDescent="0.3">
      <c r="B31" s="21"/>
      <c r="C31" s="92" t="s">
        <v>226</v>
      </c>
      <c r="H31" s="27"/>
      <c r="I31" s="27"/>
      <c r="J31" s="27"/>
      <c r="K31" s="27"/>
      <c r="L31" s="110"/>
      <c r="M31" s="15">
        <v>-141</v>
      </c>
      <c r="N31" s="27"/>
      <c r="P31" s="224"/>
      <c r="R31" s="138"/>
      <c r="S31" s="138"/>
      <c r="T31" s="138"/>
      <c r="U31" s="138"/>
    </row>
    <row r="32" spans="2:21" s="5" customFormat="1" ht="15" x14ac:dyDescent="0.3">
      <c r="B32" s="88"/>
      <c r="C32" s="21" t="s">
        <v>201</v>
      </c>
      <c r="H32" s="27"/>
      <c r="I32" s="27"/>
      <c r="J32" s="27"/>
      <c r="K32" s="27"/>
      <c r="L32" s="91"/>
      <c r="M32" s="30">
        <f>SUM(M24:M31)</f>
        <v>4773</v>
      </c>
      <c r="N32" s="27"/>
      <c r="P32" s="224"/>
      <c r="R32" s="138"/>
      <c r="S32" s="138"/>
      <c r="T32" s="138"/>
      <c r="U32" s="138"/>
    </row>
    <row r="33" spans="1:22" s="5" customFormat="1" ht="15" x14ac:dyDescent="0.3">
      <c r="B33" s="21"/>
      <c r="C33" s="92"/>
      <c r="H33" s="27"/>
      <c r="I33" s="27"/>
      <c r="J33" s="27"/>
      <c r="K33" s="27"/>
      <c r="L33" s="122"/>
      <c r="M33" s="122"/>
      <c r="N33" s="27"/>
      <c r="P33" s="224"/>
      <c r="R33" s="138"/>
      <c r="S33" s="138"/>
      <c r="T33" s="138"/>
      <c r="U33" s="138"/>
    </row>
    <row r="34" spans="1:22" s="13" customFormat="1" ht="15" x14ac:dyDescent="0.3">
      <c r="N34" s="27"/>
      <c r="P34" s="223"/>
      <c r="R34" s="139"/>
      <c r="S34" s="138"/>
      <c r="T34" s="138"/>
      <c r="U34" s="138"/>
      <c r="V34" s="138"/>
    </row>
    <row r="35" spans="1:22" s="5" customFormat="1" ht="15" x14ac:dyDescent="0.3">
      <c r="B35" s="21"/>
      <c r="C35" s="92"/>
      <c r="H35" s="27"/>
      <c r="I35" s="27"/>
      <c r="J35" s="27"/>
      <c r="K35" s="27"/>
      <c r="L35" s="27"/>
      <c r="M35" s="91"/>
      <c r="N35" s="27"/>
      <c r="P35" s="224"/>
      <c r="R35" s="139"/>
      <c r="S35" s="138"/>
      <c r="T35" s="138"/>
      <c r="U35" s="138"/>
      <c r="V35" s="138"/>
    </row>
    <row r="36" spans="1:22" s="5" customFormat="1" ht="15" x14ac:dyDescent="0.3">
      <c r="B36" s="20"/>
      <c r="C36" s="144"/>
      <c r="D36" s="17"/>
      <c r="E36" s="17"/>
      <c r="F36" s="17"/>
      <c r="G36" s="17"/>
      <c r="H36" s="145"/>
      <c r="I36" s="145"/>
      <c r="J36" s="145"/>
      <c r="K36" s="145"/>
      <c r="L36" s="145"/>
      <c r="M36" s="99"/>
      <c r="N36" s="145"/>
      <c r="P36" s="224"/>
      <c r="R36" s="139"/>
      <c r="S36" s="138"/>
      <c r="T36" s="138"/>
      <c r="U36" s="138"/>
      <c r="V36" s="138"/>
    </row>
    <row r="37" spans="1:22" s="5" customFormat="1" ht="15" x14ac:dyDescent="0.3">
      <c r="A37" s="13" t="s">
        <v>29</v>
      </c>
      <c r="B37" s="106" t="s">
        <v>202</v>
      </c>
      <c r="C37" s="107"/>
      <c r="D37" s="107"/>
      <c r="E37" s="107"/>
      <c r="F37" s="107"/>
      <c r="G37" s="107"/>
      <c r="H37" s="107"/>
      <c r="I37" s="107"/>
      <c r="J37" s="107"/>
      <c r="K37" s="107"/>
      <c r="L37" s="107"/>
      <c r="M37" s="107"/>
      <c r="N37" s="107"/>
      <c r="P37" s="224"/>
      <c r="R37" s="139"/>
      <c r="S37" s="138"/>
      <c r="T37" s="138"/>
      <c r="U37" s="138"/>
      <c r="V37" s="138"/>
    </row>
    <row r="38" spans="1:22" s="5" customFormat="1" ht="15" x14ac:dyDescent="0.3">
      <c r="A38" s="13"/>
      <c r="B38" s="13"/>
      <c r="C38" s="13"/>
      <c r="D38" s="13"/>
      <c r="E38" s="13"/>
      <c r="F38" s="13"/>
      <c r="G38" s="13"/>
      <c r="H38" s="13"/>
      <c r="I38" s="13"/>
      <c r="J38" s="13"/>
      <c r="K38" s="13"/>
      <c r="L38" s="13"/>
      <c r="M38" s="13"/>
      <c r="N38" s="13"/>
      <c r="P38" s="224"/>
      <c r="R38" s="139"/>
      <c r="S38" s="138"/>
      <c r="T38" s="138"/>
      <c r="U38" s="138"/>
      <c r="V38" s="138"/>
    </row>
    <row r="39" spans="1:22" s="5" customFormat="1" ht="17.25" thickBot="1" x14ac:dyDescent="0.35">
      <c r="A39" s="13"/>
      <c r="B39" s="283" t="s">
        <v>20</v>
      </c>
      <c r="C39" s="13"/>
      <c r="D39" s="13"/>
      <c r="E39" s="13"/>
      <c r="F39" s="13"/>
      <c r="G39" s="13"/>
      <c r="H39" s="109"/>
      <c r="I39" s="284">
        <v>2021</v>
      </c>
      <c r="J39" s="284">
        <f>I39+1</f>
        <v>2022</v>
      </c>
      <c r="K39" s="284">
        <f t="shared" ref="K39" si="2">J39+1</f>
        <v>2023</v>
      </c>
      <c r="L39" s="284">
        <f t="shared" ref="L39" si="3">K39+1</f>
        <v>2024</v>
      </c>
      <c r="M39" s="284">
        <f t="shared" ref="M39" si="4">L39+1</f>
        <v>2025</v>
      </c>
      <c r="N39" s="13"/>
      <c r="P39" s="224"/>
      <c r="R39" s="139"/>
      <c r="S39" s="138"/>
      <c r="T39" s="138"/>
      <c r="U39" s="138"/>
      <c r="V39" s="138"/>
    </row>
    <row r="40" spans="1:22" s="5" customFormat="1" ht="15" x14ac:dyDescent="0.3">
      <c r="A40" s="13"/>
      <c r="B40" s="11"/>
      <c r="C40" s="12"/>
      <c r="D40" s="13"/>
      <c r="E40" s="13"/>
      <c r="F40" s="13"/>
      <c r="G40" s="13"/>
      <c r="H40" s="13"/>
      <c r="I40" s="13"/>
      <c r="J40" s="13"/>
      <c r="K40" s="13"/>
      <c r="L40" s="13"/>
      <c r="M40" s="13"/>
      <c r="N40" s="13"/>
      <c r="P40" s="224"/>
      <c r="R40" s="139"/>
      <c r="S40" s="138"/>
      <c r="T40" s="138"/>
      <c r="U40" s="138"/>
      <c r="V40" s="138"/>
    </row>
    <row r="41" spans="1:22" s="5" customFormat="1" ht="15" x14ac:dyDescent="0.3">
      <c r="B41" s="21" t="s">
        <v>229</v>
      </c>
      <c r="M41" s="32"/>
      <c r="N41" s="27"/>
      <c r="P41" s="224"/>
      <c r="R41" s="139"/>
      <c r="S41" s="138"/>
      <c r="T41" s="138"/>
      <c r="U41" s="138"/>
      <c r="V41" s="138"/>
    </row>
    <row r="42" spans="1:22" s="5" customFormat="1" ht="15" x14ac:dyDescent="0.3">
      <c r="C42" s="143" t="s">
        <v>227</v>
      </c>
      <c r="I42" s="116">
        <v>0.11700000000000001</v>
      </c>
      <c r="J42" s="116">
        <v>0.16</v>
      </c>
      <c r="K42" s="116">
        <v>0.19700000000000001</v>
      </c>
      <c r="L42" s="116">
        <v>0.185</v>
      </c>
      <c r="M42" s="116">
        <v>0.20499999999999999</v>
      </c>
      <c r="N42" s="27"/>
      <c r="P42" s="224"/>
      <c r="R42" s="139"/>
      <c r="S42" s="138"/>
      <c r="T42" s="138"/>
      <c r="U42" s="138"/>
      <c r="V42" s="138"/>
    </row>
    <row r="43" spans="1:22" s="5" customFormat="1" ht="15" x14ac:dyDescent="0.3">
      <c r="C43" s="143" t="s">
        <v>230</v>
      </c>
      <c r="I43" s="150">
        <v>0.5</v>
      </c>
      <c r="J43" s="151">
        <v>0.5</v>
      </c>
      <c r="K43" s="151">
        <v>0.5</v>
      </c>
      <c r="L43" s="151">
        <v>0.5</v>
      </c>
      <c r="M43" s="152">
        <v>0.5</v>
      </c>
      <c r="N43" s="27"/>
      <c r="P43" s="224"/>
      <c r="R43" s="139"/>
      <c r="S43" s="138"/>
      <c r="T43" s="138"/>
      <c r="U43" s="138"/>
      <c r="V43" s="138"/>
    </row>
    <row r="44" spans="1:22" s="5" customFormat="1" ht="15" x14ac:dyDescent="0.3">
      <c r="A44" s="13"/>
      <c r="B44" s="13"/>
      <c r="C44" s="5" t="s">
        <v>228</v>
      </c>
      <c r="H44" s="27"/>
      <c r="I44" s="15">
        <v>89500</v>
      </c>
      <c r="J44" s="15">
        <v>149200</v>
      </c>
      <c r="K44" s="131">
        <v>240668</v>
      </c>
      <c r="L44" s="131">
        <v>185059</v>
      </c>
      <c r="M44" s="131">
        <v>168823</v>
      </c>
      <c r="N44" s="27"/>
      <c r="P44" s="224"/>
      <c r="R44" s="139"/>
      <c r="S44" s="138"/>
      <c r="T44" s="138"/>
      <c r="U44" s="138"/>
      <c r="V44" s="138"/>
    </row>
    <row r="45" spans="1:22" s="5" customFormat="1" ht="15" x14ac:dyDescent="0.3">
      <c r="B45" s="21"/>
      <c r="C45" s="92"/>
      <c r="H45" s="27"/>
      <c r="I45" s="27"/>
      <c r="J45" s="27"/>
      <c r="K45" s="27"/>
      <c r="L45" s="27"/>
      <c r="M45" s="91"/>
      <c r="N45" s="27"/>
      <c r="P45" s="224"/>
      <c r="R45" s="139"/>
      <c r="S45" s="138"/>
      <c r="T45" s="138"/>
      <c r="U45" s="138"/>
      <c r="V45" s="138"/>
    </row>
    <row r="46" spans="1:22" s="5" customFormat="1" ht="15" x14ac:dyDescent="0.3">
      <c r="B46" s="21"/>
      <c r="C46" s="92"/>
      <c r="H46" s="27"/>
      <c r="I46" s="27"/>
      <c r="J46" s="27"/>
      <c r="K46" s="27"/>
      <c r="L46" s="27"/>
      <c r="M46" s="91"/>
      <c r="N46" s="27"/>
      <c r="P46" s="224"/>
      <c r="R46" s="139"/>
      <c r="S46" s="138"/>
      <c r="T46" s="138"/>
      <c r="U46" s="138"/>
      <c r="V46" s="138"/>
    </row>
    <row r="47" spans="1:22" s="5" customFormat="1" ht="15" x14ac:dyDescent="0.3">
      <c r="B47" s="86" t="s">
        <v>181</v>
      </c>
      <c r="H47" s="27"/>
      <c r="I47" s="32">
        <f>'Capital Intensity'!I33</f>
        <v>7880</v>
      </c>
      <c r="J47" s="32">
        <f>'Capital Intensity'!J33</f>
        <v>8128</v>
      </c>
      <c r="K47" s="32">
        <f>'Capital Intensity'!K33</f>
        <v>11316</v>
      </c>
      <c r="L47" s="32">
        <f>'Capital Intensity'!L33</f>
        <v>9152</v>
      </c>
      <c r="M47" s="32">
        <f>'Capital Intensity'!M33</f>
        <v>5414</v>
      </c>
      <c r="N47" s="27"/>
      <c r="P47" s="224"/>
      <c r="R47" s="139"/>
      <c r="S47" s="138"/>
      <c r="T47" s="138"/>
      <c r="U47" s="138"/>
      <c r="V47" s="138"/>
    </row>
    <row r="48" spans="1:22" s="5" customFormat="1" ht="15" x14ac:dyDescent="0.3">
      <c r="B48" s="21" t="s">
        <v>234</v>
      </c>
      <c r="N48" s="27"/>
      <c r="P48" s="224"/>
      <c r="R48" s="139"/>
      <c r="S48" s="138"/>
      <c r="T48" s="138"/>
      <c r="U48" s="138"/>
      <c r="V48" s="138"/>
    </row>
    <row r="49" spans="2:22" s="5" customFormat="1" ht="15" x14ac:dyDescent="0.3">
      <c r="C49" s="92" t="s">
        <v>98</v>
      </c>
      <c r="H49" s="27"/>
      <c r="I49" s="32">
        <f>-'Statement of Cash Flows'!I38</f>
        <v>1444</v>
      </c>
      <c r="J49" s="32">
        <f>-'Statement of Cash Flows'!J38</f>
        <v>5349</v>
      </c>
      <c r="K49" s="32">
        <f>-'Statement of Cash Flows'!K38</f>
        <v>5556</v>
      </c>
      <c r="L49" s="32">
        <f>-'Statement of Cash Flows'!L38</f>
        <v>5486</v>
      </c>
      <c r="M49" s="32">
        <f>-'Statement of Cash Flows'!M38</f>
        <v>4140</v>
      </c>
      <c r="P49" s="224"/>
      <c r="R49" s="139"/>
      <c r="S49" s="138"/>
      <c r="T49" s="138"/>
      <c r="U49" s="138"/>
      <c r="V49" s="138"/>
    </row>
    <row r="50" spans="2:22" s="5" customFormat="1" ht="15" x14ac:dyDescent="0.3">
      <c r="C50" s="5" t="s">
        <v>99</v>
      </c>
      <c r="H50" s="27"/>
      <c r="I50" s="32">
        <f>-'Statement of Cash Flows'!I39</f>
        <v>366</v>
      </c>
      <c r="J50" s="32">
        <f>-'Statement of Cash Flows'!J39</f>
        <v>320</v>
      </c>
      <c r="K50" s="32">
        <f>-'Statement of Cash Flows'!K39</f>
        <v>324</v>
      </c>
      <c r="L50" s="32">
        <f>-'Statement of Cash Flows'!L39</f>
        <v>239</v>
      </c>
      <c r="M50" s="32">
        <f>-'Statement of Cash Flows'!M39</f>
        <v>183</v>
      </c>
      <c r="P50" s="224"/>
      <c r="R50" s="139"/>
      <c r="S50" s="138"/>
      <c r="T50" s="138"/>
      <c r="U50" s="138"/>
      <c r="V50" s="138"/>
    </row>
    <row r="51" spans="2:22" s="5" customFormat="1" ht="15" x14ac:dyDescent="0.3">
      <c r="C51" s="92" t="s">
        <v>100</v>
      </c>
      <c r="H51" s="27"/>
      <c r="I51" s="32">
        <f>-'Statement of Cash Flows'!I40</f>
        <v>0</v>
      </c>
      <c r="J51" s="32">
        <f>-'Statement of Cash Flows'!J40</f>
        <v>48</v>
      </c>
      <c r="K51" s="32">
        <f>-'Statement of Cash Flows'!K40</f>
        <v>1941</v>
      </c>
      <c r="L51" s="32">
        <f>-'Statement of Cash Flows'!L40</f>
        <v>4921</v>
      </c>
      <c r="M51" s="32">
        <f>-'Statement of Cash Flows'!M40</f>
        <v>360</v>
      </c>
      <c r="P51" s="224"/>
      <c r="R51" s="139"/>
      <c r="S51" s="138"/>
      <c r="T51" s="138"/>
      <c r="U51" s="138"/>
      <c r="V51" s="138"/>
    </row>
    <row r="52" spans="2:22" s="5" customFormat="1" ht="15" x14ac:dyDescent="0.3">
      <c r="C52" s="86" t="s">
        <v>233</v>
      </c>
      <c r="H52" s="27"/>
      <c r="I52" s="146">
        <f>I49+I51</f>
        <v>1444</v>
      </c>
      <c r="J52" s="146">
        <f t="shared" ref="J52:M52" si="5">J49+J51</f>
        <v>5397</v>
      </c>
      <c r="K52" s="146">
        <f t="shared" si="5"/>
        <v>7497</v>
      </c>
      <c r="L52" s="146">
        <f t="shared" si="5"/>
        <v>10407</v>
      </c>
      <c r="M52" s="146">
        <f t="shared" si="5"/>
        <v>4500</v>
      </c>
      <c r="P52" s="224"/>
      <c r="R52" s="139"/>
      <c r="S52" s="138"/>
      <c r="T52" s="138"/>
      <c r="U52" s="138"/>
      <c r="V52" s="138"/>
    </row>
    <row r="53" spans="2:22" s="5" customFormat="1" ht="15" x14ac:dyDescent="0.3">
      <c r="C53" s="86" t="s">
        <v>231</v>
      </c>
      <c r="H53" s="27"/>
      <c r="I53" s="89">
        <f>I52/I47</f>
        <v>0.183248730964467</v>
      </c>
      <c r="J53" s="89">
        <f>J52/J47</f>
        <v>0.66400098425196852</v>
      </c>
      <c r="K53" s="89">
        <f>K52/K47</f>
        <v>0.66251325556733831</v>
      </c>
      <c r="L53" s="89">
        <f>L52/L47</f>
        <v>1.1371284965034965</v>
      </c>
      <c r="M53" s="89">
        <f>M52/M47</f>
        <v>0.83117842630217953</v>
      </c>
      <c r="N53" s="27"/>
      <c r="P53" s="224"/>
      <c r="R53" s="139"/>
      <c r="S53" s="138"/>
      <c r="T53" s="138"/>
      <c r="U53" s="138"/>
      <c r="V53" s="138"/>
    </row>
    <row r="54" spans="2:22" s="5" customFormat="1" ht="15" x14ac:dyDescent="0.3">
      <c r="N54" s="27"/>
      <c r="P54" s="224"/>
      <c r="R54" s="139"/>
      <c r="S54" s="138"/>
      <c r="T54" s="138"/>
      <c r="U54" s="138"/>
      <c r="V54" s="138"/>
    </row>
    <row r="55" spans="2:22" s="5" customFormat="1" ht="15" x14ac:dyDescent="0.3">
      <c r="B55" s="21"/>
      <c r="C55" s="92" t="s">
        <v>235</v>
      </c>
      <c r="H55" s="27"/>
      <c r="I55" s="113">
        <f>SUM(I49:I51)</f>
        <v>1810</v>
      </c>
      <c r="J55" s="113">
        <f t="shared" ref="J55:M55" si="6">SUM(J49:J51)</f>
        <v>5717</v>
      </c>
      <c r="K55" s="113">
        <f t="shared" si="6"/>
        <v>7821</v>
      </c>
      <c r="L55" s="113">
        <f t="shared" si="6"/>
        <v>10646</v>
      </c>
      <c r="M55" s="113">
        <f t="shared" si="6"/>
        <v>4683</v>
      </c>
      <c r="N55" s="27"/>
      <c r="P55" s="224"/>
      <c r="R55" s="139"/>
      <c r="S55" s="138"/>
      <c r="T55" s="138"/>
      <c r="U55" s="138"/>
      <c r="V55" s="138"/>
    </row>
    <row r="56" spans="2:22" s="5" customFormat="1" ht="15" x14ac:dyDescent="0.3">
      <c r="B56" s="21"/>
      <c r="C56" s="92"/>
      <c r="H56" s="27"/>
      <c r="I56" s="27"/>
      <c r="J56" s="27"/>
      <c r="K56" s="27"/>
      <c r="L56" s="27"/>
      <c r="M56" s="91"/>
      <c r="N56" s="27"/>
      <c r="P56" s="224"/>
      <c r="R56" s="139"/>
      <c r="S56" s="138"/>
      <c r="T56" s="138"/>
      <c r="U56" s="138"/>
      <c r="V56" s="138"/>
    </row>
    <row r="57" spans="2:22" s="5" customFormat="1" ht="15" x14ac:dyDescent="0.3">
      <c r="B57" s="11" t="s">
        <v>232</v>
      </c>
      <c r="I57" s="15">
        <v>21005</v>
      </c>
      <c r="J57" s="15">
        <v>26637</v>
      </c>
      <c r="K57" s="15">
        <v>31069</v>
      </c>
      <c r="L57" s="15">
        <v>31417</v>
      </c>
      <c r="M57" s="15">
        <v>32162</v>
      </c>
      <c r="N57" s="27"/>
      <c r="P57" s="224"/>
      <c r="R57" s="139"/>
      <c r="S57" s="138"/>
      <c r="T57" s="138"/>
      <c r="U57" s="138"/>
      <c r="V57" s="138"/>
    </row>
    <row r="58" spans="2:22" s="5" customFormat="1" ht="15" x14ac:dyDescent="0.3">
      <c r="N58" s="27"/>
      <c r="P58" s="224"/>
      <c r="R58" s="139"/>
      <c r="S58" s="138"/>
      <c r="T58" s="138"/>
      <c r="U58" s="138"/>
      <c r="V58" s="138"/>
    </row>
    <row r="59" spans="2:22" s="5" customFormat="1" ht="15" x14ac:dyDescent="0.3">
      <c r="B59" s="147" t="s">
        <v>236</v>
      </c>
      <c r="C59" s="92"/>
      <c r="H59" s="27"/>
      <c r="I59" s="27"/>
      <c r="J59" s="27"/>
      <c r="K59" s="27"/>
      <c r="L59" s="27"/>
      <c r="M59" s="91"/>
      <c r="N59" s="27"/>
      <c r="P59" s="224"/>
      <c r="R59" s="139"/>
      <c r="S59" s="138"/>
      <c r="T59" s="138"/>
      <c r="U59" s="138"/>
      <c r="V59" s="138"/>
    </row>
    <row r="60" spans="2:22" s="5" customFormat="1" ht="15" x14ac:dyDescent="0.3">
      <c r="C60" s="148" t="s">
        <v>237</v>
      </c>
      <c r="H60" s="27"/>
      <c r="I60" s="27"/>
      <c r="J60" s="27"/>
      <c r="K60" s="27"/>
      <c r="L60" s="153">
        <v>1</v>
      </c>
      <c r="M60" s="153">
        <v>1.2</v>
      </c>
      <c r="N60" s="27"/>
      <c r="P60" s="224"/>
      <c r="R60" s="139"/>
      <c r="S60" s="138"/>
      <c r="T60" s="138"/>
      <c r="U60" s="138"/>
      <c r="V60" s="138"/>
    </row>
    <row r="61" spans="2:22" s="5" customFormat="1" ht="15" x14ac:dyDescent="0.3">
      <c r="C61" s="148" t="s">
        <v>238</v>
      </c>
      <c r="H61" s="27"/>
      <c r="I61" s="27"/>
      <c r="J61" s="27"/>
      <c r="K61" s="27"/>
      <c r="L61" s="153">
        <v>1</v>
      </c>
      <c r="M61" s="153">
        <v>0.6</v>
      </c>
      <c r="N61" s="27"/>
      <c r="P61" s="224"/>
      <c r="R61" s="139"/>
      <c r="S61" s="138"/>
      <c r="T61" s="138"/>
      <c r="U61" s="138"/>
      <c r="V61" s="138"/>
    </row>
    <row r="62" spans="2:22" s="5" customFormat="1" ht="15" x14ac:dyDescent="0.3">
      <c r="C62" s="148"/>
      <c r="H62" s="27"/>
      <c r="I62" s="27"/>
      <c r="J62" s="27"/>
      <c r="K62" s="27"/>
      <c r="L62" s="153"/>
      <c r="M62" s="153"/>
      <c r="N62" s="27"/>
      <c r="P62" s="224"/>
      <c r="R62" s="139"/>
      <c r="S62" s="138"/>
      <c r="T62" s="138"/>
      <c r="U62" s="138"/>
      <c r="V62" s="138"/>
    </row>
    <row r="63" spans="2:22" s="5" customFormat="1" ht="15" x14ac:dyDescent="0.3">
      <c r="C63" s="148" t="s">
        <v>239</v>
      </c>
      <c r="H63" s="27"/>
      <c r="I63" s="27"/>
      <c r="J63" s="27"/>
      <c r="K63" s="27"/>
      <c r="L63" s="154">
        <f>('Statement of Financial Position'!L20/-'Statement of Income'!L10)*365</f>
        <v>81.828522107709929</v>
      </c>
      <c r="M63" s="154">
        <f>('Statement of Financial Position'!M20/-'Statement of Income'!M10)*365</f>
        <v>79.500050054149483</v>
      </c>
      <c r="N63" s="27"/>
      <c r="P63" s="224"/>
      <c r="R63" s="139"/>
      <c r="S63" s="138"/>
      <c r="T63" s="138"/>
      <c r="U63" s="138"/>
      <c r="V63" s="138"/>
    </row>
    <row r="64" spans="2:22" s="5" customFormat="1" ht="15" x14ac:dyDescent="0.3">
      <c r="C64" s="148" t="s">
        <v>240</v>
      </c>
      <c r="H64" s="27"/>
      <c r="I64" s="27"/>
      <c r="J64" s="27"/>
      <c r="K64" s="27"/>
      <c r="L64" s="154">
        <f>('Statement of Financial Position'!L21/'Statement of Income'!L9)*365</f>
        <v>17.481111859005178</v>
      </c>
      <c r="M64" s="154">
        <f>('Statement of Financial Position'!M21/'Statement of Income'!M9)*365</f>
        <v>16.152714538551137</v>
      </c>
      <c r="N64" s="27"/>
      <c r="P64" s="224"/>
      <c r="R64" s="139"/>
      <c r="S64" s="138"/>
      <c r="T64" s="138"/>
      <c r="U64" s="138"/>
      <c r="V64" s="138"/>
    </row>
    <row r="65" spans="1:22" s="5" customFormat="1" ht="15" x14ac:dyDescent="0.3">
      <c r="C65" s="148" t="s">
        <v>241</v>
      </c>
      <c r="H65" s="27"/>
      <c r="I65" s="27"/>
      <c r="J65" s="27"/>
      <c r="K65" s="27"/>
      <c r="L65" s="154">
        <f>-('Statement of Financial Position'!L50/-'Statement of Income'!L10)*365</f>
        <v>-35.284144319677317</v>
      </c>
      <c r="M65" s="154">
        <f>-('Statement of Financial Position'!M50/-'Statement of Income'!M10)*365</f>
        <v>-35.426734376279789</v>
      </c>
      <c r="N65" s="27"/>
      <c r="P65" s="224"/>
      <c r="R65" s="139"/>
      <c r="S65" s="138"/>
      <c r="T65" s="138"/>
      <c r="U65" s="138"/>
      <c r="V65" s="138"/>
    </row>
    <row r="66" spans="1:22" s="5" customFormat="1" ht="15" x14ac:dyDescent="0.3">
      <c r="C66" s="149" t="s">
        <v>298</v>
      </c>
      <c r="D66" s="149"/>
      <c r="E66" s="149"/>
      <c r="F66" s="21"/>
      <c r="G66" s="21"/>
      <c r="H66" s="93"/>
      <c r="I66" s="93"/>
      <c r="J66" s="93"/>
      <c r="K66" s="93"/>
      <c r="L66" s="155">
        <f>SUM(L63:L65)</f>
        <v>64.025489647037801</v>
      </c>
      <c r="M66" s="155">
        <f>SUM(M63:M65)</f>
        <v>60.226030216420831</v>
      </c>
      <c r="N66" s="27"/>
      <c r="P66" s="224"/>
      <c r="R66" s="139"/>
      <c r="S66" s="138"/>
      <c r="T66" s="138"/>
      <c r="U66" s="138"/>
      <c r="V66" s="138"/>
    </row>
    <row r="67" spans="1:22" s="5" customFormat="1" ht="15" x14ac:dyDescent="0.3">
      <c r="B67" s="21"/>
      <c r="C67" s="92"/>
      <c r="H67" s="27"/>
      <c r="I67" s="27"/>
      <c r="J67" s="27"/>
      <c r="K67" s="27"/>
      <c r="L67" s="27"/>
      <c r="M67" s="91"/>
      <c r="N67" s="27"/>
      <c r="P67" s="224"/>
      <c r="R67" s="139"/>
      <c r="S67" s="138"/>
      <c r="T67" s="138"/>
      <c r="U67" s="138"/>
      <c r="V67" s="138"/>
    </row>
    <row r="68" spans="1:22" s="13" customFormat="1" ht="15" x14ac:dyDescent="0.3">
      <c r="B68" s="5"/>
      <c r="C68" s="92"/>
      <c r="D68" s="5"/>
      <c r="E68" s="5"/>
      <c r="F68" s="6"/>
      <c r="G68" s="5"/>
      <c r="H68" s="27"/>
      <c r="I68" s="103"/>
      <c r="J68" s="103"/>
      <c r="K68" s="103"/>
      <c r="L68" s="103"/>
      <c r="M68" s="103"/>
      <c r="N68" s="102"/>
      <c r="P68" s="223"/>
    </row>
    <row r="69" spans="1:22" s="13" customFormat="1" ht="15" x14ac:dyDescent="0.3">
      <c r="B69" s="263" t="s">
        <v>297</v>
      </c>
      <c r="N69" s="5"/>
      <c r="P69" s="223"/>
    </row>
    <row r="70" spans="1:22" s="13" customFormat="1" ht="15" x14ac:dyDescent="0.3">
      <c r="B70" s="17"/>
      <c r="C70" s="17"/>
      <c r="D70" s="17"/>
      <c r="E70" s="17"/>
      <c r="F70" s="17"/>
      <c r="G70" s="17"/>
      <c r="H70" s="17"/>
      <c r="I70" s="17"/>
      <c r="J70" s="17"/>
      <c r="K70" s="17"/>
      <c r="L70" s="17"/>
      <c r="M70" s="17"/>
      <c r="N70" s="17"/>
      <c r="P70" s="223"/>
    </row>
    <row r="71" spans="1:22" s="13" customFormat="1" ht="15" x14ac:dyDescent="0.3">
      <c r="A71" s="13" t="s">
        <v>29</v>
      </c>
      <c r="B71" s="106" t="s">
        <v>273</v>
      </c>
      <c r="C71" s="107"/>
      <c r="D71" s="107"/>
      <c r="E71" s="107"/>
      <c r="F71" s="107"/>
      <c r="G71" s="107"/>
      <c r="H71" s="107"/>
      <c r="I71" s="107"/>
      <c r="J71" s="107"/>
      <c r="K71" s="107"/>
      <c r="L71" s="107"/>
      <c r="M71" s="107"/>
      <c r="N71" s="107"/>
      <c r="P71" s="223"/>
    </row>
    <row r="72" spans="1:22" x14ac:dyDescent="0.3">
      <c r="A72" s="13"/>
      <c r="B72" s="5"/>
      <c r="C72" s="5"/>
      <c r="D72" s="5"/>
      <c r="E72" s="5"/>
      <c r="F72" s="5"/>
      <c r="G72" s="5"/>
      <c r="H72" s="5"/>
      <c r="I72" s="5"/>
      <c r="J72" s="5"/>
      <c r="K72" s="5"/>
      <c r="L72" s="5"/>
      <c r="M72" s="5"/>
      <c r="N72" s="5"/>
    </row>
    <row r="73" spans="1:22" x14ac:dyDescent="0.3">
      <c r="A73" s="13"/>
      <c r="B73" s="124"/>
      <c r="C73" s="5"/>
      <c r="D73" s="5"/>
      <c r="E73" s="5"/>
      <c r="F73" s="5"/>
      <c r="G73" s="5"/>
      <c r="H73" s="5"/>
      <c r="I73" s="125"/>
      <c r="J73" s="125"/>
      <c r="K73" s="125"/>
      <c r="L73" s="125"/>
      <c r="M73" s="125"/>
      <c r="N73" s="5"/>
    </row>
    <row r="74" spans="1:22" x14ac:dyDescent="0.3">
      <c r="A74" s="13"/>
      <c r="B74" s="11"/>
      <c r="C74" s="92"/>
      <c r="D74" s="5"/>
      <c r="E74" s="5"/>
      <c r="F74" s="5"/>
      <c r="G74" s="5"/>
      <c r="H74" s="5"/>
      <c r="I74" s="5"/>
      <c r="J74" s="5"/>
      <c r="K74" s="5"/>
      <c r="L74" s="5"/>
      <c r="M74" s="5"/>
      <c r="N74" s="5"/>
    </row>
    <row r="75" spans="1:22" x14ac:dyDescent="0.3">
      <c r="A75" s="5"/>
      <c r="B75" s="21"/>
      <c r="C75" s="92"/>
      <c r="D75" s="5"/>
      <c r="E75" s="5"/>
      <c r="F75" s="5"/>
      <c r="G75" s="5"/>
      <c r="H75" s="27"/>
      <c r="I75" s="32"/>
      <c r="J75" s="32"/>
      <c r="K75" s="32"/>
      <c r="L75" s="32"/>
      <c r="M75" s="32"/>
      <c r="N75" s="5"/>
    </row>
    <row r="76" spans="1:22" x14ac:dyDescent="0.3">
      <c r="A76" s="5"/>
      <c r="B76" s="21"/>
      <c r="C76" s="5"/>
      <c r="D76" s="21"/>
      <c r="E76" s="21"/>
      <c r="F76" s="6"/>
      <c r="G76" s="21"/>
      <c r="H76" s="93"/>
      <c r="I76" s="30"/>
      <c r="J76" s="30"/>
      <c r="K76" s="30"/>
      <c r="L76" s="103"/>
      <c r="M76" s="103"/>
      <c r="N76" s="5"/>
    </row>
    <row r="77" spans="1:22" x14ac:dyDescent="0.3">
      <c r="A77" s="13"/>
      <c r="B77" s="5"/>
      <c r="C77" s="90"/>
      <c r="D77" s="5"/>
      <c r="E77" s="5"/>
      <c r="F77" s="6"/>
      <c r="G77" s="5"/>
      <c r="H77" s="27"/>
      <c r="I77" s="32"/>
      <c r="J77" s="32"/>
      <c r="K77" s="32"/>
      <c r="L77" s="103"/>
      <c r="M77" s="103"/>
      <c r="N77" s="27"/>
    </row>
    <row r="78" spans="1:22" x14ac:dyDescent="0.3">
      <c r="A78" s="5"/>
      <c r="B78" s="5"/>
      <c r="C78" s="90"/>
      <c r="D78" s="5"/>
      <c r="E78" s="5"/>
      <c r="F78" s="6"/>
      <c r="G78" s="5"/>
      <c r="H78" s="27"/>
      <c r="I78" s="94"/>
      <c r="J78" s="94"/>
      <c r="K78" s="94"/>
      <c r="L78" s="103"/>
      <c r="M78" s="103"/>
      <c r="N78" s="27"/>
    </row>
    <row r="79" spans="1:22" x14ac:dyDescent="0.3">
      <c r="A79" s="5"/>
      <c r="B79" s="5"/>
      <c r="C79" s="90"/>
      <c r="D79" s="5"/>
      <c r="E79" s="5"/>
      <c r="F79" s="6"/>
      <c r="G79" s="5"/>
      <c r="H79" s="27"/>
      <c r="I79" s="32"/>
      <c r="J79" s="32"/>
      <c r="K79" s="32"/>
      <c r="L79" s="103"/>
      <c r="M79" s="103"/>
      <c r="N79" s="27"/>
    </row>
    <row r="80" spans="1:22" x14ac:dyDescent="0.3">
      <c r="A80" s="5"/>
      <c r="B80" s="5"/>
      <c r="C80" s="90"/>
      <c r="D80" s="5"/>
      <c r="E80" s="5"/>
      <c r="F80" s="5"/>
      <c r="G80" s="5"/>
      <c r="H80" s="27"/>
      <c r="I80" s="7"/>
      <c r="J80" s="7"/>
      <c r="K80" s="7"/>
      <c r="L80" s="7"/>
      <c r="M80" s="7"/>
      <c r="N80" s="27"/>
    </row>
    <row r="81" spans="1:14" x14ac:dyDescent="0.3">
      <c r="A81" s="13"/>
      <c r="B81" s="23"/>
      <c r="C81" s="88"/>
      <c r="D81" s="5"/>
      <c r="E81" s="5"/>
      <c r="F81" s="5"/>
      <c r="G81" s="5"/>
      <c r="H81" s="27"/>
      <c r="I81" s="15"/>
      <c r="J81" s="15"/>
      <c r="K81" s="15"/>
      <c r="L81" s="15"/>
      <c r="M81" s="15"/>
      <c r="N81" s="27"/>
    </row>
    <row r="82" spans="1:14" x14ac:dyDescent="0.3">
      <c r="A82" s="5"/>
      <c r="B82" s="23"/>
      <c r="C82" s="90"/>
      <c r="D82" s="5"/>
      <c r="E82" s="5"/>
      <c r="F82" s="5"/>
      <c r="G82" s="5"/>
      <c r="H82" s="27"/>
      <c r="I82" s="95"/>
      <c r="J82" s="95"/>
      <c r="K82" s="95"/>
      <c r="L82" s="95"/>
      <c r="M82" s="89"/>
      <c r="N82" s="27"/>
    </row>
    <row r="83" spans="1:14" x14ac:dyDescent="0.3">
      <c r="A83" s="5"/>
      <c r="B83" s="5"/>
      <c r="C83" s="88"/>
      <c r="D83" s="5"/>
      <c r="E83" s="5"/>
      <c r="F83" s="5"/>
      <c r="G83" s="5"/>
      <c r="H83" s="27"/>
      <c r="I83" s="89"/>
      <c r="J83" s="89"/>
      <c r="K83" s="89"/>
      <c r="L83" s="89"/>
      <c r="M83" s="89"/>
      <c r="N83" s="27"/>
    </row>
    <row r="84" spans="1:14" x14ac:dyDescent="0.3">
      <c r="A84" s="5"/>
      <c r="B84" s="5"/>
      <c r="C84" s="90"/>
      <c r="D84" s="5"/>
      <c r="E84" s="5"/>
      <c r="F84" s="5"/>
      <c r="G84" s="5"/>
      <c r="H84" s="27"/>
      <c r="I84" s="32"/>
      <c r="J84" s="32"/>
      <c r="K84" s="32"/>
      <c r="L84" s="32"/>
      <c r="M84" s="89"/>
      <c r="N84" s="27"/>
    </row>
    <row r="85" spans="1:14" x14ac:dyDescent="0.3">
      <c r="A85" s="5"/>
      <c r="B85" s="92"/>
      <c r="C85" s="5"/>
      <c r="D85" s="5"/>
      <c r="E85" s="5"/>
      <c r="F85" s="5"/>
      <c r="G85" s="5"/>
      <c r="H85" s="27"/>
      <c r="I85" s="89"/>
      <c r="J85" s="89"/>
      <c r="K85" s="89"/>
      <c r="L85" s="89"/>
      <c r="M85" s="89"/>
      <c r="N85" s="27"/>
    </row>
    <row r="86" spans="1:14" x14ac:dyDescent="0.3">
      <c r="A86" s="5"/>
      <c r="B86" s="5"/>
      <c r="C86" s="90"/>
      <c r="D86" s="5"/>
      <c r="E86" s="5"/>
      <c r="F86" s="5"/>
      <c r="G86" s="5"/>
      <c r="H86" s="5"/>
      <c r="I86" s="15"/>
      <c r="J86" s="15"/>
      <c r="K86" s="15"/>
      <c r="L86" s="15"/>
      <c r="M86" s="15"/>
      <c r="N86" s="27"/>
    </row>
    <row r="87" spans="1:14" x14ac:dyDescent="0.3">
      <c r="A87" s="5"/>
      <c r="B87" s="21"/>
      <c r="C87" s="90"/>
      <c r="D87" s="5"/>
      <c r="E87" s="5"/>
      <c r="F87" s="5"/>
      <c r="G87" s="5"/>
      <c r="H87" s="27"/>
      <c r="I87" s="15"/>
      <c r="J87" s="15"/>
      <c r="K87" s="15"/>
      <c r="L87" s="15"/>
      <c r="M87" s="15"/>
      <c r="N87" s="27"/>
    </row>
    <row r="88" spans="1:14" x14ac:dyDescent="0.3">
      <c r="A88" s="13"/>
      <c r="B88" s="23"/>
      <c r="C88" s="21"/>
      <c r="D88" s="5"/>
      <c r="E88" s="5"/>
      <c r="F88" s="5"/>
      <c r="G88" s="5"/>
      <c r="H88" s="27"/>
      <c r="I88" s="15"/>
      <c r="J88" s="15"/>
      <c r="K88" s="15"/>
      <c r="L88" s="15"/>
      <c r="M88" s="30"/>
      <c r="N88" s="27"/>
    </row>
    <row r="89" spans="1:14" x14ac:dyDescent="0.3">
      <c r="A89" s="5"/>
      <c r="B89" s="23"/>
      <c r="C89" s="90"/>
      <c r="D89" s="5"/>
      <c r="E89" s="5"/>
      <c r="F89" s="5"/>
      <c r="G89" s="5"/>
      <c r="H89" s="27"/>
      <c r="I89" s="15"/>
      <c r="J89" s="15"/>
      <c r="K89" s="15"/>
      <c r="L89" s="15"/>
      <c r="M89" s="15"/>
      <c r="N89" s="27"/>
    </row>
    <row r="90" spans="1:14" x14ac:dyDescent="0.3">
      <c r="A90" s="5"/>
      <c r="B90" s="5"/>
      <c r="C90" s="90"/>
      <c r="D90" s="5"/>
      <c r="E90" s="5"/>
      <c r="F90" s="5"/>
      <c r="G90" s="5"/>
      <c r="H90" s="27"/>
      <c r="I90" s="15"/>
      <c r="J90" s="15"/>
      <c r="K90" s="15"/>
      <c r="L90" s="32"/>
      <c r="M90" s="15"/>
      <c r="N90" s="27"/>
    </row>
    <row r="91" spans="1:14" x14ac:dyDescent="0.3">
      <c r="A91" s="5"/>
      <c r="B91" s="23"/>
      <c r="C91" s="90"/>
      <c r="D91" s="5"/>
      <c r="E91" s="5"/>
      <c r="F91" s="5"/>
      <c r="G91" s="5"/>
      <c r="H91" s="27"/>
      <c r="I91" s="97"/>
      <c r="J91" s="97"/>
      <c r="K91" s="97"/>
      <c r="L91" s="97"/>
      <c r="M91" s="15"/>
      <c r="N91" s="27"/>
    </row>
    <row r="92" spans="1:14" x14ac:dyDescent="0.3">
      <c r="A92" s="5"/>
      <c r="B92" s="21"/>
      <c r="C92" s="92"/>
      <c r="D92" s="5"/>
      <c r="E92" s="5"/>
      <c r="F92" s="5"/>
      <c r="G92" s="5"/>
      <c r="H92" s="27"/>
      <c r="I92" s="27"/>
      <c r="J92" s="27"/>
      <c r="K92" s="27"/>
      <c r="L92" s="110"/>
      <c r="M92" s="15"/>
      <c r="N92" s="27"/>
    </row>
    <row r="93" spans="1:14" x14ac:dyDescent="0.3">
      <c r="A93" s="5"/>
      <c r="B93" s="88"/>
      <c r="C93" s="21"/>
      <c r="D93" s="5"/>
      <c r="E93" s="5"/>
      <c r="F93" s="5"/>
      <c r="G93" s="5"/>
      <c r="H93" s="27"/>
      <c r="I93" s="27"/>
      <c r="J93" s="27"/>
      <c r="K93" s="27"/>
      <c r="L93" s="91"/>
      <c r="M93" s="30"/>
      <c r="N93" s="27"/>
    </row>
    <row r="94" spans="1:14" x14ac:dyDescent="0.3">
      <c r="A94" s="5"/>
      <c r="B94" s="21"/>
      <c r="C94" s="92"/>
      <c r="D94" s="5"/>
      <c r="E94" s="5"/>
      <c r="F94" s="5"/>
      <c r="G94" s="5"/>
      <c r="H94" s="27"/>
      <c r="I94" s="27"/>
      <c r="J94" s="27"/>
      <c r="K94" s="27"/>
      <c r="L94" s="122"/>
      <c r="M94" s="122"/>
      <c r="N94" s="27"/>
    </row>
    <row r="95" spans="1:14" x14ac:dyDescent="0.3">
      <c r="A95" s="5"/>
      <c r="B95" s="21"/>
      <c r="C95" s="92"/>
      <c r="D95" s="5"/>
      <c r="E95" s="5"/>
      <c r="F95" s="5"/>
      <c r="G95" s="5"/>
      <c r="H95" s="27"/>
      <c r="I95" s="15"/>
      <c r="J95" s="15"/>
      <c r="K95" s="15"/>
      <c r="L95" s="91"/>
      <c r="M95" s="91"/>
      <c r="N95" s="27"/>
    </row>
    <row r="96" spans="1:14" x14ac:dyDescent="0.3">
      <c r="A96" s="5"/>
      <c r="B96" s="5"/>
      <c r="C96" s="92"/>
      <c r="D96" s="5"/>
      <c r="E96" s="5"/>
      <c r="F96" s="5"/>
      <c r="G96" s="5"/>
      <c r="H96" s="27"/>
      <c r="I96" s="97"/>
      <c r="J96" s="97"/>
      <c r="K96" s="97"/>
      <c r="L96" s="5"/>
      <c r="M96" s="5"/>
      <c r="N96" s="27"/>
    </row>
    <row r="97" spans="1:14" x14ac:dyDescent="0.3">
      <c r="A97" s="13"/>
      <c r="B97" s="21"/>
      <c r="C97" s="92"/>
      <c r="D97" s="5"/>
      <c r="E97" s="5"/>
      <c r="F97" s="5"/>
      <c r="G97" s="5"/>
      <c r="H97" s="27"/>
      <c r="I97" s="97"/>
      <c r="J97" s="97"/>
      <c r="K97" s="97"/>
      <c r="L97" s="100"/>
      <c r="M97" s="123"/>
      <c r="N97" s="27"/>
    </row>
    <row r="98" spans="1:14" x14ac:dyDescent="0.3">
      <c r="A98" s="5"/>
      <c r="B98" s="21"/>
      <c r="C98" s="92"/>
      <c r="D98" s="5"/>
      <c r="E98" s="5"/>
      <c r="F98" s="5"/>
      <c r="G98" s="5"/>
      <c r="H98" s="27"/>
      <c r="I98" s="27"/>
      <c r="J98" s="27"/>
      <c r="K98" s="27"/>
      <c r="L98" s="27"/>
      <c r="M98" s="91"/>
      <c r="N98" s="27"/>
    </row>
    <row r="99" spans="1:14" x14ac:dyDescent="0.3">
      <c r="A99" s="13"/>
      <c r="B99" s="5"/>
      <c r="C99" s="92"/>
      <c r="D99" s="5"/>
      <c r="E99" s="5"/>
      <c r="F99" s="6"/>
      <c r="G99" s="5"/>
      <c r="H99" s="27"/>
      <c r="I99" s="103"/>
      <c r="J99" s="103"/>
      <c r="K99" s="103"/>
      <c r="L99" s="103"/>
      <c r="M99" s="103"/>
      <c r="N99" s="27"/>
    </row>
    <row r="100" spans="1:14" x14ac:dyDescent="0.3">
      <c r="A100" s="13"/>
      <c r="B100" s="119"/>
      <c r="C100" s="119"/>
      <c r="D100" s="119"/>
      <c r="E100" s="119"/>
      <c r="F100" s="119"/>
      <c r="G100" s="119"/>
      <c r="H100" s="119"/>
      <c r="I100" s="119"/>
      <c r="J100" s="119"/>
      <c r="K100" s="119"/>
      <c r="L100" s="119"/>
      <c r="M100" s="119"/>
      <c r="N100" s="119"/>
    </row>
    <row r="101" spans="1:14" x14ac:dyDescent="0.3">
      <c r="A101" s="13"/>
      <c r="B101" s="17"/>
      <c r="C101" s="17"/>
      <c r="D101" s="17"/>
      <c r="E101" s="17"/>
      <c r="F101" s="17"/>
      <c r="G101" s="17"/>
      <c r="H101" s="17"/>
      <c r="I101" s="17"/>
      <c r="J101" s="17"/>
      <c r="K101" s="17"/>
      <c r="L101" s="17"/>
      <c r="M101" s="17"/>
      <c r="N101" s="17"/>
    </row>
    <row r="102" spans="1:14" x14ac:dyDescent="0.3">
      <c r="A102" s="13" t="s">
        <v>29</v>
      </c>
      <c r="B102" s="106" t="s">
        <v>277</v>
      </c>
      <c r="C102" s="107"/>
      <c r="D102" s="107"/>
      <c r="E102" s="107"/>
      <c r="F102" s="107"/>
      <c r="G102" s="107"/>
      <c r="H102" s="107"/>
      <c r="I102" s="107"/>
      <c r="J102" s="107"/>
      <c r="K102" s="107"/>
      <c r="L102" s="107"/>
      <c r="M102" s="107"/>
      <c r="N102" s="107"/>
    </row>
    <row r="103" spans="1:14" x14ac:dyDescent="0.3">
      <c r="A103" s="13"/>
      <c r="B103" s="5"/>
      <c r="C103" s="5"/>
      <c r="D103" s="5"/>
      <c r="E103" s="5"/>
      <c r="F103" s="5"/>
      <c r="G103" s="5"/>
      <c r="H103" s="5"/>
      <c r="I103" s="5"/>
      <c r="J103" s="5"/>
      <c r="K103" s="5"/>
      <c r="L103" s="5"/>
      <c r="M103" s="5"/>
      <c r="N103" s="5"/>
    </row>
    <row r="104" spans="1:14" x14ac:dyDescent="0.3">
      <c r="A104" s="13"/>
      <c r="B104" s="124"/>
      <c r="C104" s="5"/>
      <c r="D104" s="5"/>
      <c r="E104" s="5"/>
      <c r="F104" s="5"/>
      <c r="G104" s="5"/>
      <c r="H104" s="5"/>
      <c r="I104" s="125"/>
      <c r="J104" s="125"/>
      <c r="K104" s="125"/>
      <c r="L104" s="125"/>
      <c r="M104" s="125"/>
      <c r="N104" s="5"/>
    </row>
    <row r="105" spans="1:14" x14ac:dyDescent="0.3">
      <c r="A105" s="13"/>
      <c r="B105" s="11"/>
      <c r="C105" s="92"/>
      <c r="D105" s="5"/>
      <c r="E105" s="5"/>
      <c r="F105" s="5"/>
      <c r="G105" s="5"/>
      <c r="H105" s="5"/>
      <c r="I105" s="5"/>
      <c r="J105" s="5"/>
      <c r="K105" s="5"/>
      <c r="L105" s="5"/>
      <c r="M105" s="5"/>
      <c r="N105" s="5"/>
    </row>
    <row r="106" spans="1:14" x14ac:dyDescent="0.3">
      <c r="A106" s="5"/>
      <c r="B106" s="21"/>
      <c r="C106" s="92"/>
      <c r="D106" s="5"/>
      <c r="E106" s="5"/>
      <c r="F106" s="5"/>
      <c r="G106" s="5"/>
      <c r="H106" s="27"/>
      <c r="I106" s="32"/>
      <c r="J106" s="32"/>
      <c r="K106" s="32"/>
      <c r="L106" s="32"/>
      <c r="M106" s="32"/>
      <c r="N106" s="5"/>
    </row>
    <row r="107" spans="1:14" x14ac:dyDescent="0.3">
      <c r="A107" s="5"/>
      <c r="B107" s="21"/>
      <c r="C107" s="5"/>
      <c r="D107" s="21"/>
      <c r="E107" s="21"/>
      <c r="F107" s="6"/>
      <c r="G107" s="21"/>
      <c r="H107" s="93"/>
      <c r="I107" s="30"/>
      <c r="J107" s="30"/>
      <c r="K107" s="30"/>
      <c r="L107" s="103"/>
      <c r="M107" s="103"/>
      <c r="N107" s="5"/>
    </row>
    <row r="108" spans="1:14" x14ac:dyDescent="0.3">
      <c r="A108" s="13"/>
      <c r="B108" s="5"/>
      <c r="C108" s="90"/>
      <c r="D108" s="5"/>
      <c r="E108" s="5"/>
      <c r="F108" s="6"/>
      <c r="G108" s="5"/>
      <c r="H108" s="27"/>
      <c r="I108" s="32"/>
      <c r="J108" s="32"/>
      <c r="K108" s="32"/>
      <c r="L108" s="103"/>
      <c r="M108" s="103"/>
      <c r="N108" s="27"/>
    </row>
    <row r="109" spans="1:14" x14ac:dyDescent="0.3">
      <c r="A109" s="5"/>
      <c r="B109" s="5"/>
      <c r="C109" s="90"/>
      <c r="D109" s="5"/>
      <c r="E109" s="5"/>
      <c r="F109" s="6"/>
      <c r="G109" s="5"/>
      <c r="H109" s="27"/>
      <c r="I109" s="94"/>
      <c r="J109" s="94"/>
      <c r="K109" s="94"/>
      <c r="L109" s="103"/>
      <c r="M109" s="103"/>
      <c r="N109" s="27"/>
    </row>
    <row r="110" spans="1:14" x14ac:dyDescent="0.3">
      <c r="A110" s="5"/>
      <c r="B110" s="5"/>
      <c r="C110" s="90"/>
      <c r="D110" s="5"/>
      <c r="E110" s="5"/>
      <c r="F110" s="6"/>
      <c r="G110" s="5"/>
      <c r="H110" s="27"/>
      <c r="I110" s="32"/>
      <c r="J110" s="32"/>
      <c r="K110" s="32"/>
      <c r="L110" s="103"/>
      <c r="M110" s="103"/>
      <c r="N110" s="27"/>
    </row>
    <row r="111" spans="1:14" x14ac:dyDescent="0.3">
      <c r="A111" s="5"/>
      <c r="B111" s="5"/>
      <c r="C111" s="90"/>
      <c r="D111" s="5"/>
      <c r="E111" s="5"/>
      <c r="F111" s="5"/>
      <c r="G111" s="5"/>
      <c r="H111" s="27"/>
      <c r="I111" s="7"/>
      <c r="J111" s="7"/>
      <c r="K111" s="7"/>
      <c r="L111" s="7"/>
      <c r="M111" s="7"/>
      <c r="N111" s="27"/>
    </row>
    <row r="112" spans="1:14" x14ac:dyDescent="0.3">
      <c r="A112" s="13"/>
      <c r="B112" s="23"/>
      <c r="C112" s="88"/>
      <c r="D112" s="5"/>
      <c r="E112" s="5"/>
      <c r="F112" s="5"/>
      <c r="G112" s="5"/>
      <c r="H112" s="27"/>
      <c r="I112" s="15"/>
      <c r="J112" s="15"/>
      <c r="K112" s="15"/>
      <c r="L112" s="15"/>
      <c r="M112" s="15"/>
      <c r="N112" s="27"/>
    </row>
    <row r="113" spans="1:14" x14ac:dyDescent="0.3">
      <c r="A113" s="5"/>
      <c r="B113" s="23"/>
      <c r="C113" s="90"/>
      <c r="D113" s="5"/>
      <c r="E113" s="5"/>
      <c r="F113" s="5"/>
      <c r="G113" s="5"/>
      <c r="H113" s="27"/>
      <c r="I113" s="95"/>
      <c r="J113" s="95"/>
      <c r="K113" s="95"/>
      <c r="L113" s="95"/>
      <c r="M113" s="89"/>
      <c r="N113" s="27"/>
    </row>
    <row r="114" spans="1:14" x14ac:dyDescent="0.3">
      <c r="A114" s="5"/>
      <c r="B114" s="5"/>
      <c r="C114" s="88"/>
      <c r="D114" s="5"/>
      <c r="E114" s="5"/>
      <c r="F114" s="5"/>
      <c r="G114" s="5"/>
      <c r="H114" s="27"/>
      <c r="I114" s="89"/>
      <c r="J114" s="89"/>
      <c r="K114" s="89"/>
      <c r="L114" s="89"/>
      <c r="M114" s="89"/>
      <c r="N114" s="27"/>
    </row>
    <row r="115" spans="1:14" x14ac:dyDescent="0.3">
      <c r="A115" s="5"/>
      <c r="B115" s="5"/>
      <c r="C115" s="90"/>
      <c r="D115" s="5"/>
      <c r="E115" s="5"/>
      <c r="F115" s="5"/>
      <c r="G115" s="5"/>
      <c r="H115" s="27"/>
      <c r="I115" s="32"/>
      <c r="J115" s="32"/>
      <c r="K115" s="32"/>
      <c r="L115" s="32"/>
      <c r="M115" s="89"/>
      <c r="N115" s="27"/>
    </row>
    <row r="116" spans="1:14" x14ac:dyDescent="0.3">
      <c r="A116" s="5"/>
      <c r="B116" s="92"/>
      <c r="C116" s="5"/>
      <c r="D116" s="5"/>
      <c r="E116" s="5"/>
      <c r="F116" s="5"/>
      <c r="G116" s="5"/>
      <c r="H116" s="27"/>
      <c r="I116" s="89"/>
      <c r="J116" s="89"/>
      <c r="K116" s="89"/>
      <c r="L116" s="89"/>
      <c r="M116" s="89"/>
      <c r="N116" s="27"/>
    </row>
    <row r="117" spans="1:14" x14ac:dyDescent="0.3">
      <c r="A117" s="5"/>
      <c r="B117" s="5"/>
      <c r="C117" s="90"/>
      <c r="D117" s="5"/>
      <c r="E117" s="5"/>
      <c r="F117" s="5"/>
      <c r="G117" s="5"/>
      <c r="H117" s="5"/>
      <c r="I117" s="15"/>
      <c r="J117" s="15"/>
      <c r="K117" s="15"/>
      <c r="L117" s="15"/>
      <c r="M117" s="15"/>
      <c r="N117" s="27"/>
    </row>
    <row r="118" spans="1:14" x14ac:dyDescent="0.3">
      <c r="A118" s="5"/>
      <c r="B118" s="21"/>
      <c r="C118" s="90"/>
      <c r="D118" s="5"/>
      <c r="E118" s="5"/>
      <c r="F118" s="5"/>
      <c r="G118" s="5"/>
      <c r="H118" s="27"/>
      <c r="I118" s="15"/>
      <c r="J118" s="15"/>
      <c r="K118" s="15"/>
      <c r="L118" s="15"/>
      <c r="M118" s="15"/>
      <c r="N118" s="27"/>
    </row>
    <row r="119" spans="1:14" x14ac:dyDescent="0.3">
      <c r="A119" s="13"/>
      <c r="B119" s="23"/>
      <c r="C119" s="21"/>
      <c r="D119" s="5"/>
      <c r="E119" s="5"/>
      <c r="F119" s="5"/>
      <c r="G119" s="5"/>
      <c r="H119" s="27"/>
      <c r="I119" s="15"/>
      <c r="J119" s="15"/>
      <c r="K119" s="15"/>
      <c r="L119" s="15"/>
      <c r="M119" s="30"/>
      <c r="N119" s="27"/>
    </row>
    <row r="120" spans="1:14" x14ac:dyDescent="0.3">
      <c r="A120" s="5"/>
      <c r="B120" s="23"/>
      <c r="C120" s="90"/>
      <c r="D120" s="5"/>
      <c r="E120" s="5"/>
      <c r="F120" s="5"/>
      <c r="G120" s="5"/>
      <c r="H120" s="27"/>
      <c r="I120" s="15"/>
      <c r="J120" s="15"/>
      <c r="K120" s="15"/>
      <c r="L120" s="15"/>
      <c r="M120" s="15"/>
      <c r="N120" s="27"/>
    </row>
    <row r="121" spans="1:14" x14ac:dyDescent="0.3">
      <c r="A121" s="5"/>
      <c r="B121" s="5"/>
      <c r="C121" s="90"/>
      <c r="D121" s="5"/>
      <c r="E121" s="5"/>
      <c r="F121" s="5"/>
      <c r="G121" s="5"/>
      <c r="H121" s="27"/>
      <c r="I121" s="15"/>
      <c r="J121" s="15"/>
      <c r="K121" s="15"/>
      <c r="L121" s="32"/>
      <c r="M121" s="15"/>
      <c r="N121" s="27"/>
    </row>
    <row r="122" spans="1:14" x14ac:dyDescent="0.3">
      <c r="A122" s="5"/>
      <c r="B122" s="23"/>
      <c r="C122" s="90"/>
      <c r="D122" s="5"/>
      <c r="E122" s="5"/>
      <c r="F122" s="5"/>
      <c r="G122" s="5"/>
      <c r="H122" s="27"/>
      <c r="I122" s="97"/>
      <c r="J122" s="97"/>
      <c r="K122" s="97"/>
      <c r="L122" s="97"/>
      <c r="M122" s="15"/>
      <c r="N122" s="27"/>
    </row>
    <row r="123" spans="1:14" x14ac:dyDescent="0.3">
      <c r="A123" s="5"/>
      <c r="B123" s="21"/>
      <c r="C123" s="92"/>
      <c r="D123" s="5"/>
      <c r="E123" s="5"/>
      <c r="F123" s="5"/>
      <c r="G123" s="5"/>
      <c r="H123" s="27"/>
      <c r="I123" s="27"/>
      <c r="J123" s="27"/>
      <c r="K123" s="27"/>
      <c r="L123" s="110"/>
      <c r="M123" s="15"/>
      <c r="N123" s="27"/>
    </row>
    <row r="124" spans="1:14" x14ac:dyDescent="0.3">
      <c r="A124" s="5"/>
      <c r="B124" s="88"/>
      <c r="C124" s="21"/>
      <c r="D124" s="5"/>
      <c r="E124" s="5"/>
      <c r="F124" s="5"/>
      <c r="G124" s="5"/>
      <c r="H124" s="27"/>
      <c r="I124" s="27"/>
      <c r="J124" s="27"/>
      <c r="K124" s="27"/>
      <c r="L124" s="91"/>
      <c r="M124" s="30"/>
      <c r="N124" s="27"/>
    </row>
    <row r="125" spans="1:14" x14ac:dyDescent="0.3">
      <c r="A125" s="5"/>
      <c r="B125" s="21"/>
      <c r="C125" s="92"/>
      <c r="D125" s="5"/>
      <c r="E125" s="5"/>
      <c r="F125" s="5"/>
      <c r="G125" s="5"/>
      <c r="H125" s="27"/>
      <c r="I125" s="27"/>
      <c r="J125" s="27"/>
      <c r="K125" s="27"/>
      <c r="L125" s="122"/>
      <c r="M125" s="122"/>
      <c r="N125" s="27"/>
    </row>
    <row r="126" spans="1:14" x14ac:dyDescent="0.3">
      <c r="A126" s="5"/>
      <c r="B126" s="21"/>
      <c r="C126" s="92"/>
      <c r="D126" s="5"/>
      <c r="E126" s="5"/>
      <c r="F126" s="5"/>
      <c r="G126" s="5"/>
      <c r="H126" s="27"/>
      <c r="I126" s="15"/>
      <c r="J126" s="15"/>
      <c r="K126" s="15"/>
      <c r="L126" s="91"/>
      <c r="M126" s="91"/>
      <c r="N126" s="27"/>
    </row>
    <row r="127" spans="1:14" x14ac:dyDescent="0.3">
      <c r="A127" s="5"/>
      <c r="B127" s="5"/>
      <c r="C127" s="92"/>
      <c r="D127" s="5"/>
      <c r="E127" s="5"/>
      <c r="F127" s="5"/>
      <c r="G127" s="5"/>
      <c r="H127" s="27"/>
      <c r="I127" s="97"/>
      <c r="J127" s="97"/>
      <c r="K127" s="97"/>
      <c r="L127" s="5"/>
      <c r="M127" s="5"/>
      <c r="N127" s="27"/>
    </row>
    <row r="128" spans="1:14" x14ac:dyDescent="0.3">
      <c r="A128" s="13"/>
      <c r="B128" s="21"/>
      <c r="C128" s="92"/>
      <c r="D128" s="5"/>
      <c r="E128" s="5"/>
      <c r="F128" s="5"/>
      <c r="G128" s="5"/>
      <c r="H128" s="27"/>
      <c r="I128" s="97"/>
      <c r="J128" s="97"/>
      <c r="K128" s="97"/>
      <c r="L128" s="100"/>
      <c r="M128" s="123"/>
      <c r="N128" s="27"/>
    </row>
    <row r="129" spans="1:19" x14ac:dyDescent="0.3">
      <c r="A129" s="5"/>
      <c r="B129" s="21"/>
      <c r="C129" s="92"/>
      <c r="D129" s="5"/>
      <c r="E129" s="5"/>
      <c r="F129" s="5"/>
      <c r="G129" s="5"/>
      <c r="H129" s="27"/>
      <c r="I129" s="27"/>
      <c r="J129" s="27"/>
      <c r="K129" s="27"/>
      <c r="L129" s="27"/>
      <c r="M129" s="91"/>
      <c r="N129" s="27"/>
    </row>
    <row r="130" spans="1:19" x14ac:dyDescent="0.3">
      <c r="A130" s="13"/>
      <c r="B130" s="5"/>
      <c r="C130" s="92"/>
      <c r="D130" s="5"/>
      <c r="E130" s="5"/>
      <c r="F130" s="6"/>
      <c r="G130" s="5"/>
      <c r="H130" s="27"/>
      <c r="I130" s="103"/>
      <c r="J130" s="103"/>
      <c r="K130" s="103"/>
      <c r="L130" s="103"/>
      <c r="M130" s="103"/>
      <c r="N130" s="27"/>
    </row>
    <row r="131" spans="1:19" x14ac:dyDescent="0.3">
      <c r="A131" s="13"/>
      <c r="B131" s="119"/>
      <c r="C131" s="119"/>
      <c r="D131" s="119"/>
      <c r="E131" s="119"/>
      <c r="F131" s="119"/>
      <c r="G131" s="119"/>
      <c r="H131" s="119"/>
      <c r="I131" s="119"/>
      <c r="J131" s="119"/>
      <c r="K131" s="119"/>
      <c r="L131" s="119"/>
      <c r="M131" s="119"/>
      <c r="N131" s="119"/>
    </row>
    <row r="132" spans="1:19" x14ac:dyDescent="0.3">
      <c r="A132" s="13"/>
      <c r="B132" s="17"/>
      <c r="C132" s="17"/>
      <c r="D132" s="17"/>
      <c r="E132" s="17"/>
      <c r="F132" s="17"/>
      <c r="G132" s="17"/>
      <c r="H132" s="17"/>
      <c r="I132" s="17"/>
      <c r="J132" s="17"/>
      <c r="K132" s="17"/>
      <c r="L132" s="17"/>
      <c r="M132" s="17"/>
      <c r="N132" s="17"/>
    </row>
    <row r="133" spans="1:19" x14ac:dyDescent="0.3">
      <c r="A133" s="13" t="s">
        <v>29</v>
      </c>
      <c r="B133" s="106" t="s">
        <v>281</v>
      </c>
      <c r="C133" s="107"/>
      <c r="D133" s="107"/>
      <c r="E133" s="107"/>
      <c r="F133" s="107"/>
      <c r="G133" s="107"/>
      <c r="H133" s="107"/>
      <c r="I133" s="107"/>
      <c r="J133" s="107"/>
      <c r="K133" s="107"/>
      <c r="L133" s="107"/>
      <c r="M133" s="107"/>
      <c r="N133" s="107"/>
    </row>
    <row r="134" spans="1:19" x14ac:dyDescent="0.3">
      <c r="A134" s="13"/>
      <c r="B134" s="5"/>
      <c r="C134" s="5"/>
      <c r="D134" s="5"/>
      <c r="E134" s="5"/>
      <c r="F134" s="5"/>
      <c r="G134" s="5"/>
      <c r="H134" s="5"/>
      <c r="I134" s="5"/>
      <c r="J134" s="5"/>
      <c r="K134" s="5"/>
      <c r="L134" s="5"/>
      <c r="M134" s="5"/>
      <c r="N134" s="5"/>
    </row>
    <row r="135" spans="1:19" x14ac:dyDescent="0.3">
      <c r="A135" s="13"/>
      <c r="D135" s="133"/>
      <c r="E135" s="133"/>
      <c r="F135" s="133"/>
      <c r="G135" s="5"/>
      <c r="H135" s="5"/>
      <c r="I135" s="125"/>
      <c r="J135" s="125"/>
      <c r="K135" s="125"/>
      <c r="L135" s="125"/>
      <c r="M135" s="125"/>
      <c r="N135" s="5"/>
    </row>
    <row r="136" spans="1:19" x14ac:dyDescent="0.3">
      <c r="A136" s="13"/>
      <c r="D136" s="133"/>
      <c r="E136" s="133"/>
      <c r="F136" s="133"/>
      <c r="G136" s="5"/>
      <c r="H136" s="5"/>
      <c r="I136" s="5"/>
      <c r="J136" s="5"/>
      <c r="K136" s="5"/>
      <c r="L136" s="5"/>
      <c r="M136" s="5"/>
      <c r="N136" s="5"/>
    </row>
    <row r="137" spans="1:19" x14ac:dyDescent="0.3">
      <c r="A137" s="5"/>
      <c r="D137" s="133"/>
      <c r="E137" s="133"/>
      <c r="F137" s="133"/>
      <c r="G137" s="5"/>
      <c r="H137" s="27"/>
      <c r="I137" s="32"/>
      <c r="J137" s="32"/>
      <c r="K137" s="32"/>
      <c r="L137" s="32"/>
      <c r="M137" s="32"/>
      <c r="N137" s="5"/>
      <c r="Q137" s="225" t="s">
        <v>263</v>
      </c>
      <c r="R137" s="175">
        <f>L6</f>
        <v>2024</v>
      </c>
      <c r="S137" s="175">
        <f>M6</f>
        <v>2025</v>
      </c>
    </row>
    <row r="138" spans="1:19" x14ac:dyDescent="0.3">
      <c r="A138" s="5"/>
      <c r="D138" s="133"/>
      <c r="E138" s="133"/>
      <c r="F138" s="133"/>
      <c r="G138" s="21"/>
      <c r="H138" s="93"/>
      <c r="I138" s="30"/>
      <c r="J138" s="30"/>
      <c r="K138" s="30"/>
      <c r="L138" s="103"/>
      <c r="M138" s="103"/>
      <c r="N138" s="5"/>
      <c r="Q138" s="226" t="s">
        <v>221</v>
      </c>
      <c r="R138" s="176">
        <f>L12</f>
        <v>683568</v>
      </c>
      <c r="S138" s="176">
        <f>M12</f>
        <v>551932</v>
      </c>
    </row>
    <row r="139" spans="1:19" x14ac:dyDescent="0.3">
      <c r="A139" s="13"/>
      <c r="D139" s="133"/>
      <c r="E139" s="133"/>
      <c r="F139" s="133"/>
      <c r="G139" s="5"/>
      <c r="H139" s="27"/>
      <c r="I139" s="32"/>
      <c r="J139" s="32"/>
      <c r="K139" s="32"/>
      <c r="L139" s="103"/>
      <c r="M139" s="103"/>
      <c r="N139" s="27"/>
      <c r="Q139" s="226"/>
      <c r="R139" s="177">
        <f>R138/R142</f>
        <v>0.34464402847026043</v>
      </c>
      <c r="S139" s="177">
        <f>S138/S142</f>
        <v>0.30640912545502086</v>
      </c>
    </row>
    <row r="140" spans="1:19" x14ac:dyDescent="0.3">
      <c r="A140" s="5"/>
      <c r="D140" s="133"/>
      <c r="E140" s="133"/>
      <c r="F140" s="133"/>
      <c r="G140" s="5"/>
      <c r="H140" s="27"/>
      <c r="I140" s="94"/>
      <c r="J140" s="94"/>
      <c r="K140" s="94"/>
      <c r="L140" s="103"/>
      <c r="M140" s="103"/>
      <c r="N140" s="27"/>
      <c r="Q140" s="226" t="s">
        <v>213</v>
      </c>
      <c r="R140" s="178">
        <f>R142-R138</f>
        <v>1299835</v>
      </c>
      <c r="S140" s="178">
        <f>S142-S138</f>
        <v>1249359</v>
      </c>
    </row>
    <row r="141" spans="1:19" x14ac:dyDescent="0.3">
      <c r="A141" s="5"/>
      <c r="B141" s="5"/>
      <c r="C141" s="90"/>
      <c r="D141" s="5"/>
      <c r="E141" s="5"/>
      <c r="F141" s="6"/>
      <c r="G141" s="5"/>
      <c r="H141" s="27"/>
      <c r="I141" s="32"/>
      <c r="J141" s="32"/>
      <c r="K141" s="32"/>
      <c r="L141" s="103"/>
      <c r="M141" s="103"/>
      <c r="N141" s="27"/>
      <c r="Q141" s="226"/>
      <c r="R141" s="179">
        <f>R140/R142</f>
        <v>0.65535597152973957</v>
      </c>
      <c r="S141" s="179">
        <f>S140/S142</f>
        <v>0.69359087454497914</v>
      </c>
    </row>
    <row r="142" spans="1:19" x14ac:dyDescent="0.3">
      <c r="A142" s="5"/>
      <c r="B142" s="5"/>
      <c r="C142" s="90"/>
      <c r="D142" s="5"/>
      <c r="E142" s="5"/>
      <c r="F142" s="5"/>
      <c r="G142" s="5"/>
      <c r="H142" s="27"/>
      <c r="I142" s="7"/>
      <c r="J142" s="7"/>
      <c r="K142" s="7"/>
      <c r="L142" s="7"/>
      <c r="M142" s="7"/>
      <c r="N142" s="27"/>
      <c r="Q142" s="227" t="s">
        <v>219</v>
      </c>
      <c r="R142" s="228">
        <f>L15</f>
        <v>1983403</v>
      </c>
      <c r="S142" s="228">
        <f>M15</f>
        <v>1801291</v>
      </c>
    </row>
    <row r="143" spans="1:19" x14ac:dyDescent="0.3">
      <c r="A143" s="13"/>
      <c r="B143" s="23"/>
      <c r="C143" s="88"/>
      <c r="D143" s="5"/>
      <c r="E143" s="5"/>
      <c r="F143" s="5"/>
      <c r="G143" s="5"/>
      <c r="H143" s="27"/>
      <c r="I143" s="15"/>
      <c r="J143" s="15"/>
      <c r="K143" s="15"/>
      <c r="L143" s="15"/>
      <c r="M143" s="15"/>
      <c r="N143" s="27"/>
    </row>
    <row r="144" spans="1:19" x14ac:dyDescent="0.3">
      <c r="A144" s="5"/>
      <c r="B144" s="23"/>
      <c r="C144" s="90"/>
      <c r="D144" s="5"/>
      <c r="E144" s="5"/>
      <c r="F144" s="5"/>
      <c r="G144" s="5"/>
      <c r="H144" s="27"/>
      <c r="I144" s="95"/>
      <c r="J144" s="95"/>
      <c r="K144" s="95"/>
      <c r="L144" s="95"/>
      <c r="M144" s="89"/>
      <c r="N144" s="27"/>
    </row>
    <row r="145" spans="1:16" x14ac:dyDescent="0.3">
      <c r="A145" s="5"/>
      <c r="B145" s="5"/>
      <c r="C145" s="88"/>
      <c r="D145" s="5"/>
      <c r="E145" s="5"/>
      <c r="F145" s="5"/>
      <c r="G145" s="5"/>
      <c r="H145" s="27"/>
      <c r="I145" s="89"/>
      <c r="J145" s="89"/>
      <c r="K145" s="89"/>
      <c r="L145" s="89"/>
      <c r="M145" s="89"/>
      <c r="N145" s="27"/>
    </row>
    <row r="146" spans="1:16" x14ac:dyDescent="0.3">
      <c r="A146" s="5"/>
      <c r="B146" s="5"/>
      <c r="C146" s="90"/>
      <c r="D146" s="5"/>
      <c r="E146" s="5"/>
      <c r="F146" s="5"/>
      <c r="G146" s="5"/>
      <c r="H146" s="27"/>
      <c r="I146" s="32"/>
      <c r="J146" s="32"/>
      <c r="K146" s="32"/>
      <c r="L146" s="32"/>
      <c r="M146" s="89"/>
      <c r="N146" s="27"/>
    </row>
    <row r="147" spans="1:16" x14ac:dyDescent="0.3">
      <c r="A147" s="5"/>
      <c r="B147" s="92"/>
      <c r="C147" s="5"/>
      <c r="D147" s="5"/>
      <c r="E147" s="5"/>
      <c r="F147" s="5"/>
      <c r="G147" s="5"/>
      <c r="H147" s="27"/>
      <c r="I147" s="89"/>
      <c r="J147" s="89"/>
      <c r="K147" s="89"/>
      <c r="L147" s="89"/>
      <c r="M147" s="89"/>
      <c r="N147" s="27"/>
    </row>
    <row r="148" spans="1:16" x14ac:dyDescent="0.3">
      <c r="A148" s="5"/>
      <c r="B148" s="5"/>
      <c r="C148" s="90"/>
      <c r="D148" s="5"/>
      <c r="E148" s="5"/>
      <c r="F148" s="5"/>
      <c r="G148" s="5"/>
      <c r="H148" s="5"/>
      <c r="I148" s="15"/>
      <c r="J148" s="15"/>
      <c r="K148" s="15"/>
      <c r="L148" s="15"/>
      <c r="M148" s="15"/>
      <c r="N148" s="27"/>
    </row>
    <row r="149" spans="1:16" x14ac:dyDescent="0.3">
      <c r="A149" s="5"/>
      <c r="B149" s="21"/>
      <c r="C149" s="90"/>
      <c r="D149" s="5"/>
      <c r="E149" s="5"/>
      <c r="F149" s="5"/>
      <c r="G149" s="5"/>
      <c r="H149" s="27"/>
      <c r="I149" s="15"/>
      <c r="J149" s="15"/>
      <c r="K149" s="15"/>
      <c r="L149" s="15"/>
      <c r="M149" s="15"/>
      <c r="N149" s="27"/>
    </row>
    <row r="150" spans="1:16" x14ac:dyDescent="0.3">
      <c r="A150" s="13"/>
      <c r="B150" s="23"/>
      <c r="C150" s="21"/>
      <c r="D150" s="5"/>
      <c r="E150" s="5"/>
      <c r="F150" s="5"/>
      <c r="G150" s="5"/>
      <c r="H150" s="27"/>
      <c r="I150" s="15"/>
      <c r="J150" s="15"/>
      <c r="K150" s="15"/>
      <c r="L150" s="15"/>
      <c r="M150" s="30"/>
      <c r="N150" s="27"/>
    </row>
    <row r="151" spans="1:16" x14ac:dyDescent="0.3">
      <c r="A151" s="5"/>
      <c r="B151" s="23"/>
      <c r="C151" s="90"/>
      <c r="D151" s="5"/>
      <c r="E151" s="5"/>
      <c r="F151" s="5"/>
      <c r="G151" s="5"/>
      <c r="H151" s="27"/>
      <c r="I151" s="15"/>
      <c r="J151" s="15"/>
      <c r="K151" s="15"/>
      <c r="L151" s="15"/>
      <c r="M151" s="15"/>
      <c r="N151" s="27"/>
    </row>
    <row r="152" spans="1:16" x14ac:dyDescent="0.3">
      <c r="A152" s="5"/>
      <c r="B152" s="5"/>
      <c r="C152" s="90"/>
      <c r="D152" s="5"/>
      <c r="E152" s="5"/>
      <c r="F152" s="5"/>
      <c r="G152" s="5"/>
      <c r="H152" s="27"/>
      <c r="I152" s="15"/>
      <c r="J152" s="15"/>
      <c r="K152" s="15"/>
      <c r="L152" s="32"/>
      <c r="M152" s="15"/>
      <c r="N152" s="27"/>
    </row>
    <row r="153" spans="1:16" x14ac:dyDescent="0.3">
      <c r="A153" s="5"/>
      <c r="B153" s="23"/>
      <c r="C153" s="90"/>
      <c r="D153" s="5"/>
      <c r="E153" s="5"/>
      <c r="F153" s="5"/>
      <c r="G153" s="5"/>
      <c r="H153" s="27"/>
      <c r="I153" s="97"/>
      <c r="J153" s="97"/>
      <c r="K153" s="97"/>
      <c r="L153" s="97"/>
      <c r="M153" s="15"/>
      <c r="N153" s="27"/>
    </row>
    <row r="154" spans="1:16" x14ac:dyDescent="0.3">
      <c r="A154" s="5"/>
      <c r="B154" s="21"/>
      <c r="C154" s="92"/>
      <c r="D154" s="5"/>
      <c r="E154" s="5"/>
      <c r="F154" s="5"/>
      <c r="G154" s="5"/>
      <c r="H154" s="27"/>
      <c r="I154" s="27"/>
      <c r="J154" s="27"/>
      <c r="K154" s="27"/>
      <c r="L154" s="110"/>
      <c r="M154" s="15"/>
      <c r="N154" s="27"/>
    </row>
    <row r="155" spans="1:16" x14ac:dyDescent="0.3">
      <c r="A155" s="5"/>
      <c r="B155" s="88"/>
      <c r="C155" s="21"/>
      <c r="D155" s="5"/>
      <c r="E155" s="5"/>
      <c r="F155" s="5"/>
      <c r="G155" s="5"/>
      <c r="H155" s="27"/>
      <c r="I155" s="27"/>
      <c r="J155" s="27"/>
      <c r="K155" s="27"/>
      <c r="L155" s="91"/>
      <c r="M155" s="30"/>
      <c r="N155" s="27"/>
    </row>
    <row r="156" spans="1:16" s="133" customFormat="1" x14ac:dyDescent="0.3">
      <c r="A156" s="5"/>
      <c r="B156" s="88"/>
      <c r="C156" s="21"/>
      <c r="D156" s="5"/>
      <c r="E156" s="5"/>
      <c r="F156" s="5"/>
      <c r="G156" s="5"/>
      <c r="H156" s="27"/>
      <c r="I156" s="27"/>
      <c r="J156" s="27"/>
      <c r="K156" s="27"/>
      <c r="L156" s="91"/>
      <c r="M156" s="30"/>
      <c r="N156" s="27"/>
      <c r="P156" s="222"/>
    </row>
    <row r="157" spans="1:16" s="133" customFormat="1" x14ac:dyDescent="0.3">
      <c r="A157" s="5"/>
      <c r="B157" s="88"/>
      <c r="C157" s="21"/>
      <c r="D157" s="5"/>
      <c r="E157" s="5"/>
      <c r="F157" s="5"/>
      <c r="G157" s="5"/>
      <c r="H157" s="27"/>
      <c r="I157" s="27"/>
      <c r="J157" s="27"/>
      <c r="K157" s="27"/>
      <c r="L157" s="91"/>
      <c r="M157" s="30"/>
      <c r="N157" s="27"/>
      <c r="P157" s="222"/>
    </row>
    <row r="158" spans="1:16" s="133" customFormat="1" x14ac:dyDescent="0.3">
      <c r="A158" s="5"/>
      <c r="B158" s="88"/>
      <c r="C158" s="21"/>
      <c r="D158" s="5"/>
      <c r="E158" s="5"/>
      <c r="F158" s="5"/>
      <c r="G158" s="5"/>
      <c r="H158" s="27"/>
      <c r="I158" s="27"/>
      <c r="J158" s="27"/>
      <c r="K158" s="27"/>
      <c r="L158" s="91"/>
      <c r="M158" s="30"/>
      <c r="N158" s="27"/>
      <c r="P158" s="222"/>
    </row>
    <row r="159" spans="1:16" s="133" customFormat="1" x14ac:dyDescent="0.3">
      <c r="A159" s="5"/>
      <c r="B159" s="88"/>
      <c r="C159" s="21"/>
      <c r="D159" s="5"/>
      <c r="E159" s="5"/>
      <c r="F159" s="5"/>
      <c r="G159" s="5"/>
      <c r="H159" s="27"/>
      <c r="I159" s="27"/>
      <c r="J159" s="27"/>
      <c r="K159" s="27"/>
      <c r="L159" s="91"/>
      <c r="M159" s="30"/>
      <c r="N159" s="27"/>
      <c r="P159" s="222"/>
    </row>
    <row r="160" spans="1:16" x14ac:dyDescent="0.3">
      <c r="A160" s="5"/>
      <c r="B160" s="21"/>
      <c r="C160" s="92"/>
      <c r="D160" s="5"/>
      <c r="E160" s="5"/>
      <c r="F160" s="5"/>
      <c r="G160" s="5"/>
      <c r="H160" s="27"/>
      <c r="I160" s="27"/>
      <c r="J160" s="27"/>
      <c r="K160" s="27"/>
      <c r="L160" s="122"/>
      <c r="M160" s="122"/>
      <c r="N160" s="27"/>
    </row>
    <row r="161" spans="1:14" x14ac:dyDescent="0.3">
      <c r="A161" s="5"/>
      <c r="B161" s="21"/>
      <c r="C161" s="92"/>
      <c r="D161" s="5"/>
      <c r="E161" s="5"/>
      <c r="F161" s="5"/>
      <c r="G161" s="5"/>
      <c r="H161" s="27"/>
      <c r="I161" s="15"/>
      <c r="J161" s="15"/>
      <c r="K161" s="15"/>
      <c r="L161" s="91"/>
      <c r="M161" s="91"/>
      <c r="N161" s="27"/>
    </row>
    <row r="162" spans="1:14" x14ac:dyDescent="0.3">
      <c r="A162" s="5"/>
      <c r="B162" s="5"/>
      <c r="C162" s="92"/>
      <c r="D162" s="5"/>
      <c r="E162" s="5"/>
      <c r="F162" s="5"/>
      <c r="G162" s="5"/>
      <c r="H162" s="27"/>
      <c r="I162" s="97"/>
      <c r="J162" s="97"/>
      <c r="K162" s="97"/>
      <c r="L162" s="5"/>
      <c r="M162" s="5"/>
      <c r="N162" s="27"/>
    </row>
    <row r="163" spans="1:14" x14ac:dyDescent="0.3">
      <c r="A163" s="13"/>
      <c r="B163" s="21"/>
      <c r="C163" s="92"/>
      <c r="D163" s="5"/>
      <c r="E163" s="5"/>
      <c r="F163" s="5"/>
      <c r="G163" s="5"/>
      <c r="H163" s="27"/>
      <c r="I163" s="97"/>
      <c r="J163" s="97"/>
      <c r="K163" s="97"/>
      <c r="L163" s="100"/>
      <c r="M163" s="123"/>
      <c r="N163" s="27"/>
    </row>
    <row r="164" spans="1:14" x14ac:dyDescent="0.3">
      <c r="A164" s="5"/>
      <c r="B164" s="21"/>
      <c r="C164" s="92"/>
      <c r="D164" s="5"/>
      <c r="E164" s="5"/>
      <c r="F164" s="5"/>
      <c r="G164" s="5"/>
      <c r="H164" s="27"/>
      <c r="I164" s="27"/>
      <c r="J164" s="27"/>
      <c r="K164" s="27"/>
      <c r="L164" s="27"/>
      <c r="M164" s="91"/>
      <c r="N164" s="27"/>
    </row>
    <row r="165" spans="1:14" x14ac:dyDescent="0.3">
      <c r="A165" s="13"/>
      <c r="B165" s="5"/>
      <c r="C165" s="92"/>
      <c r="D165" s="5"/>
      <c r="E165" s="5"/>
      <c r="F165" s="6"/>
      <c r="G165" s="5"/>
      <c r="H165" s="27"/>
      <c r="I165" s="103"/>
      <c r="J165" s="103"/>
      <c r="K165" s="103"/>
      <c r="L165" s="103"/>
      <c r="M165" s="103"/>
      <c r="N165" s="27"/>
    </row>
    <row r="166" spans="1:14" x14ac:dyDescent="0.3">
      <c r="A166" s="13"/>
      <c r="B166" s="263" t="s">
        <v>220</v>
      </c>
      <c r="C166" s="5"/>
      <c r="D166" s="5"/>
      <c r="E166" s="5"/>
      <c r="F166" s="5"/>
      <c r="G166" s="5"/>
      <c r="H166" s="5"/>
      <c r="I166" s="5"/>
      <c r="J166" s="5"/>
      <c r="K166" s="5"/>
      <c r="L166" s="5"/>
      <c r="M166" s="5"/>
      <c r="N166" s="5"/>
    </row>
    <row r="167" spans="1:14" x14ac:dyDescent="0.3">
      <c r="A167" s="13"/>
      <c r="B167" s="17"/>
      <c r="C167" s="17"/>
      <c r="D167" s="17"/>
      <c r="E167" s="17"/>
      <c r="F167" s="17"/>
      <c r="G167" s="17"/>
      <c r="H167" s="17"/>
      <c r="I167" s="17"/>
      <c r="J167" s="17"/>
      <c r="K167" s="17"/>
      <c r="L167" s="17"/>
      <c r="M167" s="17"/>
      <c r="N167" s="17"/>
    </row>
    <row r="168" spans="1:14" x14ac:dyDescent="0.3">
      <c r="A168" s="13" t="s">
        <v>29</v>
      </c>
      <c r="B168" s="106" t="s">
        <v>282</v>
      </c>
      <c r="C168" s="107"/>
      <c r="D168" s="107"/>
      <c r="E168" s="107"/>
      <c r="F168" s="107"/>
      <c r="G168" s="107"/>
      <c r="H168" s="107"/>
      <c r="I168" s="107"/>
      <c r="J168" s="107"/>
      <c r="K168" s="107"/>
      <c r="L168" s="107"/>
      <c r="M168" s="107"/>
      <c r="N168" s="107"/>
    </row>
    <row r="169" spans="1:14" x14ac:dyDescent="0.3">
      <c r="A169" s="13"/>
      <c r="B169" s="5"/>
      <c r="C169" s="5"/>
      <c r="D169" s="5"/>
      <c r="E169" s="5"/>
      <c r="F169" s="5"/>
      <c r="G169" s="5"/>
      <c r="H169" s="5"/>
      <c r="I169" s="5"/>
      <c r="J169" s="5"/>
      <c r="K169" s="5"/>
      <c r="L169" s="5"/>
      <c r="M169" s="5"/>
      <c r="N169" s="5"/>
    </row>
    <row r="170" spans="1:14" ht="21" x14ac:dyDescent="0.4">
      <c r="A170" s="13"/>
      <c r="B170" s="124"/>
      <c r="C170" s="5"/>
      <c r="D170" s="281" t="s">
        <v>214</v>
      </c>
      <c r="E170" s="279"/>
      <c r="F170" s="278"/>
      <c r="G170" s="278"/>
      <c r="H170" s="278"/>
      <c r="I170" s="280"/>
      <c r="J170" s="280"/>
      <c r="K170" s="280"/>
      <c r="L170" s="282"/>
      <c r="M170" s="125"/>
      <c r="N170" s="5"/>
    </row>
    <row r="171" spans="1:14" x14ac:dyDescent="0.3">
      <c r="A171" s="13"/>
      <c r="B171" s="11"/>
      <c r="C171" s="92"/>
      <c r="D171" s="5"/>
      <c r="E171" s="5"/>
      <c r="F171" s="5"/>
      <c r="G171" s="5"/>
      <c r="H171" s="5"/>
      <c r="I171" s="5"/>
      <c r="J171" s="5"/>
      <c r="K171" s="5"/>
      <c r="L171" s="5"/>
      <c r="M171" s="5"/>
      <c r="N171" s="5"/>
    </row>
    <row r="172" spans="1:14" x14ac:dyDescent="0.3">
      <c r="A172" s="5"/>
      <c r="B172" s="21"/>
      <c r="C172" s="92"/>
      <c r="D172" s="5"/>
      <c r="E172" s="5"/>
      <c r="F172" s="5"/>
      <c r="G172" s="5"/>
      <c r="H172" s="27"/>
      <c r="I172" s="32"/>
      <c r="J172" s="32"/>
      <c r="K172" s="32"/>
      <c r="L172" s="32"/>
      <c r="M172" s="32"/>
      <c r="N172" s="5"/>
    </row>
    <row r="173" spans="1:14" x14ac:dyDescent="0.3">
      <c r="A173" s="5"/>
      <c r="B173" s="21"/>
      <c r="C173" s="5"/>
      <c r="D173" s="21"/>
      <c r="E173" s="21"/>
      <c r="F173" s="6"/>
      <c r="G173" s="21"/>
      <c r="H173" s="93"/>
      <c r="I173" s="30"/>
      <c r="J173" s="30"/>
      <c r="K173" s="30"/>
      <c r="L173" s="103"/>
      <c r="M173" s="103"/>
      <c r="N173" s="5"/>
    </row>
    <row r="174" spans="1:14" x14ac:dyDescent="0.3">
      <c r="A174" s="13"/>
      <c r="B174" s="5"/>
      <c r="C174" s="90"/>
      <c r="D174" s="5"/>
      <c r="E174" s="5"/>
      <c r="F174" s="6"/>
      <c r="G174" s="5"/>
      <c r="H174" s="27"/>
      <c r="I174" s="32"/>
      <c r="J174" s="32"/>
      <c r="K174" s="32"/>
      <c r="L174" s="103"/>
      <c r="M174" s="103"/>
      <c r="N174" s="27"/>
    </row>
    <row r="175" spans="1:14" x14ac:dyDescent="0.3">
      <c r="A175" s="5"/>
      <c r="B175" s="5"/>
      <c r="C175" s="90"/>
      <c r="D175" s="5"/>
      <c r="E175" s="5"/>
      <c r="F175" s="6"/>
      <c r="G175" s="5"/>
      <c r="H175" s="27"/>
      <c r="I175" s="94"/>
      <c r="J175" s="94"/>
      <c r="K175" s="94"/>
      <c r="L175" s="103"/>
      <c r="M175" s="103"/>
      <c r="N175" s="27"/>
    </row>
    <row r="176" spans="1:14" x14ac:dyDescent="0.3">
      <c r="A176" s="5"/>
      <c r="B176" s="5"/>
      <c r="C176" s="90"/>
      <c r="D176" s="5"/>
      <c r="E176" s="5"/>
      <c r="F176" s="6"/>
      <c r="G176" s="5"/>
      <c r="H176" s="27"/>
      <c r="I176" s="32"/>
      <c r="J176" s="32"/>
      <c r="K176" s="32"/>
      <c r="L176" s="103"/>
      <c r="M176" s="103"/>
      <c r="N176" s="27"/>
    </row>
    <row r="177" spans="1:14" x14ac:dyDescent="0.3">
      <c r="A177" s="5"/>
      <c r="B177" s="5"/>
      <c r="C177" s="90"/>
      <c r="D177" s="5"/>
      <c r="E177" s="5"/>
      <c r="F177" s="5"/>
      <c r="G177" s="5"/>
      <c r="H177" s="27"/>
      <c r="I177" s="7"/>
      <c r="J177" s="7"/>
      <c r="K177" s="7"/>
      <c r="L177" s="7"/>
      <c r="M177" s="7"/>
      <c r="N177" s="27"/>
    </row>
    <row r="178" spans="1:14" x14ac:dyDescent="0.3">
      <c r="A178" s="13"/>
      <c r="B178" s="23"/>
      <c r="C178" s="88"/>
      <c r="D178" s="5"/>
      <c r="E178" s="5"/>
      <c r="F178" s="5"/>
      <c r="G178" s="5"/>
      <c r="H178" s="27"/>
      <c r="I178" s="15"/>
      <c r="J178" s="15"/>
      <c r="K178" s="15"/>
      <c r="L178" s="15"/>
      <c r="M178" s="15"/>
      <c r="N178" s="27"/>
    </row>
    <row r="179" spans="1:14" x14ac:dyDescent="0.3">
      <c r="A179" s="5"/>
      <c r="B179" s="23"/>
      <c r="C179" s="90"/>
      <c r="D179" s="5"/>
      <c r="E179" s="5"/>
      <c r="F179" s="5"/>
      <c r="G179" s="5"/>
      <c r="H179" s="27"/>
      <c r="I179" s="95"/>
      <c r="J179" s="95"/>
      <c r="K179" s="95"/>
      <c r="L179" s="95"/>
      <c r="M179" s="89"/>
      <c r="N179" s="27"/>
    </row>
    <row r="180" spans="1:14" x14ac:dyDescent="0.3">
      <c r="A180" s="5"/>
      <c r="B180" s="5"/>
      <c r="C180" s="88"/>
      <c r="D180" s="5"/>
      <c r="E180" s="5"/>
      <c r="F180" s="5"/>
      <c r="G180" s="5"/>
      <c r="H180" s="27"/>
      <c r="I180" s="89"/>
      <c r="J180" s="89"/>
      <c r="K180" s="89"/>
      <c r="L180" s="89"/>
      <c r="M180" s="89"/>
      <c r="N180" s="27"/>
    </row>
    <row r="181" spans="1:14" x14ac:dyDescent="0.3">
      <c r="A181" s="5"/>
      <c r="B181" s="5"/>
      <c r="C181" s="90"/>
      <c r="D181" s="5"/>
      <c r="E181" s="5"/>
      <c r="F181" s="5"/>
      <c r="G181" s="5"/>
      <c r="H181" s="27"/>
      <c r="I181" s="32"/>
      <c r="J181" s="32"/>
      <c r="K181" s="32"/>
      <c r="L181" s="32"/>
      <c r="M181" s="89"/>
      <c r="N181" s="27"/>
    </row>
    <row r="182" spans="1:14" x14ac:dyDescent="0.3">
      <c r="A182" s="5"/>
      <c r="B182" s="92"/>
      <c r="C182" s="5"/>
      <c r="D182" s="5"/>
      <c r="E182" s="5"/>
      <c r="F182" s="5"/>
      <c r="G182" s="5"/>
      <c r="H182" s="27"/>
      <c r="I182" s="89"/>
      <c r="J182" s="89"/>
      <c r="K182" s="89"/>
      <c r="L182" s="89"/>
      <c r="M182" s="89"/>
      <c r="N182" s="27"/>
    </row>
    <row r="183" spans="1:14" x14ac:dyDescent="0.3">
      <c r="A183" s="5"/>
      <c r="B183" s="5"/>
      <c r="C183" s="90"/>
      <c r="D183" s="5"/>
      <c r="E183" s="5"/>
      <c r="F183" s="5"/>
      <c r="G183" s="5"/>
      <c r="H183" s="5"/>
      <c r="I183" s="15"/>
      <c r="J183" s="15"/>
      <c r="K183" s="15"/>
      <c r="L183" s="15"/>
      <c r="M183" s="15"/>
      <c r="N183" s="27"/>
    </row>
    <row r="184" spans="1:14" x14ac:dyDescent="0.3">
      <c r="A184" s="5"/>
      <c r="B184" s="21"/>
      <c r="C184" s="90"/>
      <c r="D184" s="5"/>
      <c r="E184" s="5"/>
      <c r="F184" s="5"/>
      <c r="G184" s="5"/>
      <c r="H184" s="27"/>
      <c r="I184" s="15"/>
      <c r="J184" s="15"/>
      <c r="K184" s="15"/>
      <c r="L184" s="15"/>
      <c r="M184" s="15"/>
      <c r="N184" s="27"/>
    </row>
    <row r="185" spans="1:14" x14ac:dyDescent="0.3">
      <c r="A185" s="13"/>
      <c r="B185" s="23"/>
      <c r="C185" s="21"/>
      <c r="D185" s="5"/>
      <c r="E185" s="5"/>
      <c r="F185" s="5"/>
      <c r="G185" s="5"/>
      <c r="H185" s="27"/>
      <c r="I185" s="15"/>
      <c r="J185" s="15"/>
      <c r="K185" s="15"/>
      <c r="L185" s="15"/>
      <c r="M185" s="30"/>
      <c r="N185" s="27"/>
    </row>
    <row r="186" spans="1:14" x14ac:dyDescent="0.3">
      <c r="A186" s="5"/>
      <c r="B186" s="23"/>
      <c r="C186" s="90"/>
      <c r="D186" s="5"/>
      <c r="E186" s="5"/>
      <c r="F186" s="5"/>
      <c r="G186" s="5"/>
      <c r="H186" s="27"/>
      <c r="I186" s="15"/>
      <c r="J186" s="15"/>
      <c r="K186" s="15"/>
      <c r="L186" s="15"/>
      <c r="M186" s="15"/>
      <c r="N186" s="27"/>
    </row>
    <row r="187" spans="1:14" x14ac:dyDescent="0.3">
      <c r="A187" s="5"/>
      <c r="B187" s="5"/>
      <c r="C187" s="90"/>
      <c r="D187" s="5"/>
      <c r="E187" s="5"/>
      <c r="F187" s="5"/>
      <c r="G187" s="5"/>
      <c r="H187" s="27"/>
      <c r="I187" s="15"/>
      <c r="J187" s="15"/>
      <c r="K187" s="15"/>
      <c r="L187" s="32"/>
      <c r="M187" s="15"/>
      <c r="N187" s="27"/>
    </row>
    <row r="188" spans="1:14" x14ac:dyDescent="0.3">
      <c r="A188" s="5"/>
      <c r="B188" s="23"/>
      <c r="C188" s="90"/>
      <c r="D188" s="5"/>
      <c r="E188" s="5"/>
      <c r="F188" s="5"/>
      <c r="G188" s="5"/>
      <c r="H188" s="27"/>
      <c r="I188" s="97"/>
      <c r="J188" s="97"/>
      <c r="K188" s="97"/>
      <c r="L188" s="97"/>
      <c r="M188" s="15"/>
      <c r="N188" s="27"/>
    </row>
    <row r="189" spans="1:14" x14ac:dyDescent="0.3">
      <c r="A189" s="5"/>
      <c r="B189" s="21"/>
      <c r="C189" s="92"/>
      <c r="D189" s="5"/>
      <c r="E189" s="5"/>
      <c r="F189" s="5"/>
      <c r="G189" s="5"/>
      <c r="H189" s="27"/>
      <c r="I189" s="27"/>
      <c r="J189" s="27"/>
      <c r="K189" s="27"/>
      <c r="L189" s="110"/>
      <c r="M189" s="15"/>
      <c r="N189" s="27"/>
    </row>
    <row r="190" spans="1:14" x14ac:dyDescent="0.3">
      <c r="A190" s="5"/>
      <c r="B190" s="88"/>
      <c r="C190" s="21"/>
      <c r="D190" s="5"/>
      <c r="E190" s="5"/>
      <c r="F190" s="5"/>
      <c r="G190" s="5"/>
      <c r="H190" s="27"/>
      <c r="I190" s="27"/>
      <c r="J190" s="27"/>
      <c r="K190" s="27"/>
      <c r="L190" s="91"/>
      <c r="M190" s="30"/>
      <c r="N190" s="27"/>
    </row>
    <row r="191" spans="1:14" x14ac:dyDescent="0.3">
      <c r="A191" s="5"/>
      <c r="B191" s="21"/>
      <c r="C191" s="92"/>
      <c r="D191" s="5"/>
      <c r="E191" s="5"/>
      <c r="F191" s="5"/>
      <c r="G191" s="5"/>
      <c r="H191" s="27"/>
      <c r="I191" s="27"/>
      <c r="J191" s="27"/>
      <c r="K191" s="27"/>
      <c r="L191" s="122"/>
      <c r="M191" s="122"/>
      <c r="N191" s="27"/>
    </row>
    <row r="192" spans="1:14" x14ac:dyDescent="0.3">
      <c r="A192" s="5"/>
      <c r="B192" s="21"/>
      <c r="C192" s="92"/>
      <c r="D192" s="5"/>
      <c r="E192" s="5"/>
      <c r="F192" s="5"/>
      <c r="G192" s="5"/>
      <c r="H192" s="27"/>
      <c r="I192" s="15"/>
      <c r="J192" s="15"/>
      <c r="K192" s="15"/>
      <c r="L192" s="91"/>
      <c r="M192" s="91"/>
      <c r="N192" s="27"/>
    </row>
    <row r="193" spans="1:14" x14ac:dyDescent="0.3">
      <c r="A193" s="5"/>
      <c r="B193" s="5"/>
      <c r="C193" s="92"/>
      <c r="D193" s="5"/>
      <c r="E193" s="5"/>
      <c r="F193" s="5"/>
      <c r="G193" s="5"/>
      <c r="H193" s="27"/>
      <c r="I193" s="97"/>
      <c r="J193" s="97"/>
      <c r="K193" s="97"/>
      <c r="L193" s="5"/>
      <c r="N193" s="5"/>
    </row>
    <row r="194" spans="1:14" x14ac:dyDescent="0.3">
      <c r="A194" s="13"/>
      <c r="B194" s="21"/>
      <c r="C194" s="92"/>
      <c r="D194" s="5"/>
      <c r="E194" s="5"/>
      <c r="F194" s="5"/>
      <c r="G194" s="5"/>
      <c r="H194" s="27"/>
      <c r="I194" s="97"/>
      <c r="J194" s="97"/>
      <c r="K194" s="97"/>
      <c r="L194" s="100"/>
      <c r="M194" s="123"/>
      <c r="N194" s="27"/>
    </row>
    <row r="195" spans="1:14" x14ac:dyDescent="0.3">
      <c r="A195" s="5"/>
      <c r="B195" s="21"/>
      <c r="C195" s="92"/>
      <c r="D195" s="5"/>
      <c r="E195" s="5"/>
      <c r="F195" s="5"/>
      <c r="G195" s="5"/>
      <c r="H195" s="27"/>
      <c r="I195" s="27"/>
      <c r="J195" s="27"/>
      <c r="K195" s="27"/>
      <c r="L195" s="27"/>
      <c r="M195" s="91"/>
      <c r="N195" s="27"/>
    </row>
    <row r="196" spans="1:14" x14ac:dyDescent="0.3">
      <c r="A196" s="13"/>
      <c r="B196" s="5"/>
      <c r="C196" s="92"/>
      <c r="D196" s="5"/>
      <c r="E196" s="5"/>
      <c r="F196" s="6"/>
      <c r="G196" s="5"/>
      <c r="H196" s="27"/>
      <c r="I196" s="103"/>
      <c r="J196" s="103"/>
      <c r="K196" s="103"/>
      <c r="L196" s="103"/>
      <c r="M196" s="103"/>
      <c r="N196" s="27"/>
    </row>
    <row r="197" spans="1:14" x14ac:dyDescent="0.3">
      <c r="A197" s="13"/>
      <c r="B197" s="119"/>
      <c r="C197" s="119"/>
      <c r="D197" s="119"/>
      <c r="E197" s="119"/>
      <c r="F197" s="119"/>
      <c r="G197" s="119"/>
      <c r="H197" s="119"/>
      <c r="I197" s="119"/>
      <c r="J197" s="119"/>
      <c r="K197" s="119"/>
      <c r="L197" s="119"/>
      <c r="M197" s="119"/>
      <c r="N197" s="119"/>
    </row>
    <row r="198" spans="1:14" x14ac:dyDescent="0.3">
      <c r="A198" s="13"/>
      <c r="B198" s="17"/>
      <c r="C198" s="17"/>
      <c r="D198" s="17"/>
      <c r="E198" s="17"/>
      <c r="F198" s="17"/>
      <c r="G198" s="17"/>
      <c r="H198" s="17"/>
      <c r="I198" s="17"/>
      <c r="J198" s="17"/>
      <c r="K198" s="17"/>
      <c r="L198" s="17"/>
      <c r="M198" s="17"/>
      <c r="N198" s="17"/>
    </row>
    <row r="199" spans="1:14" x14ac:dyDescent="0.3">
      <c r="A199" s="13" t="s">
        <v>29</v>
      </c>
      <c r="B199" s="106" t="s">
        <v>283</v>
      </c>
      <c r="C199" s="107"/>
      <c r="D199" s="107"/>
      <c r="E199" s="107"/>
      <c r="F199" s="107"/>
      <c r="G199" s="107"/>
      <c r="H199" s="107"/>
      <c r="I199" s="107"/>
      <c r="J199" s="107"/>
      <c r="K199" s="107"/>
      <c r="L199" s="107"/>
      <c r="M199" s="107"/>
      <c r="N199" s="107"/>
    </row>
    <row r="200" spans="1:14" x14ac:dyDescent="0.3">
      <c r="A200" s="13"/>
      <c r="B200" s="5"/>
      <c r="C200" s="5"/>
      <c r="D200" s="5"/>
      <c r="E200" s="5"/>
      <c r="F200" s="5"/>
      <c r="G200" s="5"/>
      <c r="H200" s="5"/>
      <c r="I200" s="5"/>
      <c r="J200" s="5"/>
      <c r="K200" s="5"/>
      <c r="L200" s="5"/>
      <c r="M200" s="5"/>
      <c r="N200" s="5"/>
    </row>
    <row r="201" spans="1:14" x14ac:dyDescent="0.3">
      <c r="A201" s="13"/>
      <c r="B201" s="124"/>
      <c r="C201" s="5"/>
      <c r="D201" s="278"/>
      <c r="E201" s="279"/>
      <c r="F201" s="278"/>
      <c r="G201" s="278"/>
      <c r="H201" s="278"/>
      <c r="I201" s="280"/>
      <c r="J201" s="280"/>
      <c r="K201" s="280"/>
      <c r="L201" s="125"/>
      <c r="M201" s="125"/>
      <c r="N201" s="5"/>
    </row>
    <row r="202" spans="1:14" x14ac:dyDescent="0.3">
      <c r="A202" s="13"/>
      <c r="B202" s="11"/>
      <c r="C202" s="92"/>
      <c r="D202" s="5"/>
      <c r="E202" s="5"/>
      <c r="F202" s="5"/>
      <c r="G202" s="5"/>
      <c r="H202" s="5"/>
      <c r="I202" s="5"/>
      <c r="J202" s="5"/>
      <c r="K202" s="5"/>
      <c r="L202" s="5"/>
      <c r="M202" s="5"/>
      <c r="N202" s="5"/>
    </row>
    <row r="203" spans="1:14" x14ac:dyDescent="0.3">
      <c r="A203" s="5"/>
      <c r="B203" s="21"/>
      <c r="C203" s="92"/>
      <c r="D203" s="5"/>
      <c r="E203" s="5"/>
      <c r="F203" s="5"/>
      <c r="G203" s="5"/>
      <c r="H203" s="27"/>
      <c r="I203" s="32"/>
      <c r="J203" s="32"/>
      <c r="K203" s="32"/>
      <c r="L203" s="32"/>
      <c r="M203" s="32"/>
      <c r="N203" s="5"/>
    </row>
    <row r="204" spans="1:14" x14ac:dyDescent="0.3">
      <c r="A204" s="5"/>
      <c r="B204" s="21"/>
      <c r="C204" s="5"/>
      <c r="D204" s="21"/>
      <c r="E204" s="21"/>
      <c r="F204" s="6"/>
      <c r="G204" s="21"/>
      <c r="H204" s="93"/>
      <c r="I204" s="30"/>
      <c r="J204" s="30"/>
      <c r="K204" s="30"/>
      <c r="L204" s="103"/>
      <c r="M204" s="103"/>
      <c r="N204" s="5"/>
    </row>
    <row r="205" spans="1:14" x14ac:dyDescent="0.3">
      <c r="A205" s="13"/>
      <c r="B205" s="5"/>
      <c r="C205" s="90"/>
      <c r="D205" s="5"/>
      <c r="E205" s="5"/>
      <c r="F205" s="6"/>
      <c r="G205" s="5"/>
      <c r="H205" s="27"/>
      <c r="I205" s="32"/>
      <c r="J205" s="32"/>
      <c r="K205" s="32"/>
      <c r="L205" s="103"/>
      <c r="M205" s="103"/>
      <c r="N205" s="27"/>
    </row>
    <row r="206" spans="1:14" x14ac:dyDescent="0.3">
      <c r="A206" s="5"/>
      <c r="B206" s="5"/>
      <c r="C206" s="90"/>
      <c r="D206" s="5"/>
      <c r="E206" s="5"/>
      <c r="F206" s="6"/>
      <c r="G206" s="5"/>
      <c r="H206" s="27"/>
      <c r="I206" s="94"/>
      <c r="J206" s="94"/>
      <c r="K206" s="94"/>
      <c r="L206" s="103"/>
      <c r="M206" s="103"/>
      <c r="N206" s="27"/>
    </row>
    <row r="207" spans="1:14" x14ac:dyDescent="0.3">
      <c r="A207" s="5"/>
      <c r="B207" s="5"/>
      <c r="C207" s="90"/>
      <c r="D207" s="5"/>
      <c r="E207" s="5"/>
      <c r="F207" s="6"/>
      <c r="G207" s="5"/>
      <c r="H207" s="27"/>
      <c r="I207" s="32"/>
      <c r="J207" s="32"/>
      <c r="K207" s="32"/>
      <c r="L207" s="103"/>
      <c r="M207" s="103"/>
      <c r="N207" s="27"/>
    </row>
    <row r="208" spans="1:14" x14ac:dyDescent="0.3">
      <c r="A208" s="5"/>
      <c r="B208" s="5"/>
      <c r="C208" s="90"/>
      <c r="D208" s="5"/>
      <c r="E208" s="5"/>
      <c r="F208" s="5"/>
      <c r="G208" s="5"/>
      <c r="H208" s="27"/>
      <c r="I208" s="7"/>
      <c r="J208" s="7"/>
      <c r="K208" s="7"/>
      <c r="L208" s="7"/>
      <c r="M208" s="7"/>
      <c r="N208" s="27"/>
    </row>
    <row r="209" spans="1:14" x14ac:dyDescent="0.3">
      <c r="A209" s="13"/>
      <c r="B209" s="23"/>
      <c r="C209" s="88"/>
      <c r="D209" s="5"/>
      <c r="E209" s="5"/>
      <c r="F209" s="5"/>
      <c r="G209" s="5"/>
      <c r="H209" s="27"/>
      <c r="I209" s="15"/>
      <c r="J209" s="15"/>
      <c r="K209" s="15"/>
      <c r="L209" s="15"/>
      <c r="M209" s="15"/>
      <c r="N209" s="27"/>
    </row>
    <row r="210" spans="1:14" x14ac:dyDescent="0.3">
      <c r="A210" s="5"/>
      <c r="B210" s="23"/>
      <c r="C210" s="90"/>
      <c r="D210" s="5"/>
      <c r="E210" s="5"/>
      <c r="F210" s="5"/>
      <c r="G210" s="5"/>
      <c r="H210" s="27"/>
      <c r="I210" s="95"/>
      <c r="J210" s="95"/>
      <c r="K210" s="95"/>
      <c r="L210" s="95"/>
      <c r="M210" s="89"/>
      <c r="N210" s="27"/>
    </row>
    <row r="211" spans="1:14" x14ac:dyDescent="0.3">
      <c r="A211" s="5"/>
      <c r="B211" s="5"/>
      <c r="C211" s="88"/>
      <c r="D211" s="5"/>
      <c r="E211" s="5"/>
      <c r="F211" s="5"/>
      <c r="G211" s="5"/>
      <c r="H211" s="27"/>
      <c r="I211" s="89"/>
      <c r="J211" s="89"/>
      <c r="K211" s="89"/>
      <c r="L211" s="89"/>
      <c r="M211" s="89"/>
      <c r="N211" s="27"/>
    </row>
    <row r="212" spans="1:14" x14ac:dyDescent="0.3">
      <c r="A212" s="5"/>
      <c r="B212" s="5"/>
      <c r="C212" s="90"/>
      <c r="D212" s="5"/>
      <c r="E212" s="5"/>
      <c r="F212" s="5"/>
      <c r="G212" s="5"/>
      <c r="H212" s="27"/>
      <c r="I212" s="32"/>
      <c r="J212" s="32"/>
      <c r="K212" s="32"/>
      <c r="L212" s="32"/>
      <c r="M212" s="89"/>
      <c r="N212" s="27"/>
    </row>
    <row r="213" spans="1:14" x14ac:dyDescent="0.3">
      <c r="A213" s="5"/>
      <c r="B213" s="92"/>
      <c r="C213" s="5"/>
      <c r="D213" s="5"/>
      <c r="E213" s="5"/>
      <c r="F213" s="5"/>
      <c r="G213" s="5"/>
      <c r="H213" s="27"/>
      <c r="I213" s="89"/>
      <c r="J213" s="89"/>
      <c r="K213" s="89"/>
      <c r="L213" s="89"/>
      <c r="M213" s="89"/>
      <c r="N213" s="27"/>
    </row>
    <row r="214" spans="1:14" x14ac:dyDescent="0.3">
      <c r="A214" s="5"/>
      <c r="B214" s="5"/>
      <c r="C214" s="90"/>
      <c r="D214" s="5"/>
      <c r="E214" s="5"/>
      <c r="F214" s="5"/>
      <c r="G214" s="5"/>
      <c r="H214" s="5"/>
      <c r="I214" s="15"/>
      <c r="J214" s="15"/>
      <c r="K214" s="15"/>
      <c r="L214" s="15"/>
      <c r="M214" s="15"/>
      <c r="N214" s="27"/>
    </row>
    <row r="215" spans="1:14" x14ac:dyDescent="0.3">
      <c r="A215" s="5"/>
      <c r="B215" s="21"/>
      <c r="C215" s="90"/>
      <c r="D215" s="5"/>
      <c r="E215" s="5"/>
      <c r="F215" s="5"/>
      <c r="G215" s="5"/>
      <c r="H215" s="27"/>
      <c r="I215" s="15"/>
      <c r="J215" s="15"/>
      <c r="K215" s="15"/>
      <c r="L215" s="15"/>
      <c r="M215" s="15"/>
      <c r="N215" s="27"/>
    </row>
    <row r="216" spans="1:14" x14ac:dyDescent="0.3">
      <c r="A216" s="13"/>
      <c r="B216" s="23"/>
      <c r="C216" s="21"/>
      <c r="D216" s="5"/>
      <c r="E216" s="5"/>
      <c r="F216" s="5"/>
      <c r="G216" s="5"/>
      <c r="H216" s="27"/>
      <c r="I216" s="15"/>
      <c r="J216" s="15"/>
      <c r="K216" s="15"/>
      <c r="L216" s="15"/>
      <c r="M216" s="30"/>
      <c r="N216" s="27"/>
    </row>
    <row r="217" spans="1:14" x14ac:dyDescent="0.3">
      <c r="A217" s="5"/>
      <c r="B217" s="23"/>
      <c r="C217" s="90"/>
      <c r="D217" s="5"/>
      <c r="E217" s="5"/>
      <c r="F217" s="5"/>
      <c r="G217" s="5"/>
      <c r="H217" s="27"/>
      <c r="I217" s="15"/>
      <c r="J217" s="15"/>
      <c r="K217" s="15"/>
      <c r="L217" s="15"/>
      <c r="M217" s="15"/>
      <c r="N217" s="27"/>
    </row>
    <row r="218" spans="1:14" x14ac:dyDescent="0.3">
      <c r="A218" s="5"/>
      <c r="B218" s="5"/>
      <c r="C218" s="90"/>
      <c r="D218" s="5"/>
      <c r="E218" s="5"/>
      <c r="F218" s="5"/>
      <c r="G218" s="5"/>
      <c r="H218" s="27"/>
      <c r="I218" s="15"/>
      <c r="J218" s="15"/>
      <c r="K218" s="15"/>
      <c r="L218" s="32"/>
      <c r="M218" s="15"/>
      <c r="N218" s="27"/>
    </row>
    <row r="219" spans="1:14" x14ac:dyDescent="0.3">
      <c r="A219" s="5"/>
      <c r="B219" s="23"/>
      <c r="C219" s="90"/>
      <c r="D219" s="5"/>
      <c r="E219" s="5"/>
      <c r="F219" s="5"/>
      <c r="G219" s="5"/>
      <c r="H219" s="27"/>
      <c r="I219" s="97"/>
      <c r="J219" s="97"/>
      <c r="K219" s="97"/>
      <c r="L219" s="97"/>
      <c r="M219" s="15"/>
      <c r="N219" s="27"/>
    </row>
    <row r="220" spans="1:14" x14ac:dyDescent="0.3">
      <c r="A220" s="5"/>
      <c r="B220" s="21"/>
      <c r="C220" s="92"/>
      <c r="D220" s="5"/>
      <c r="E220" s="5"/>
      <c r="F220" s="5"/>
      <c r="G220" s="5"/>
      <c r="H220" s="27"/>
      <c r="I220" s="27"/>
      <c r="J220" s="27"/>
      <c r="K220" s="27"/>
      <c r="L220" s="110"/>
      <c r="M220" s="15"/>
      <c r="N220" s="27"/>
    </row>
    <row r="221" spans="1:14" x14ac:dyDescent="0.3">
      <c r="A221" s="5"/>
      <c r="B221" s="88"/>
      <c r="C221" s="21"/>
      <c r="D221" s="5"/>
      <c r="E221" s="5"/>
      <c r="F221" s="5"/>
      <c r="G221" s="5"/>
      <c r="H221" s="27"/>
      <c r="I221" s="27"/>
      <c r="J221" s="27"/>
      <c r="K221" s="27"/>
      <c r="L221" s="91"/>
      <c r="M221" s="30"/>
      <c r="N221" s="27"/>
    </row>
    <row r="222" spans="1:14" x14ac:dyDescent="0.3">
      <c r="A222" s="5"/>
      <c r="B222" s="21"/>
      <c r="C222" s="92"/>
      <c r="D222" s="5"/>
      <c r="E222" s="5"/>
      <c r="F222" s="5"/>
      <c r="G222" s="5"/>
      <c r="H222" s="27"/>
      <c r="I222" s="27"/>
      <c r="J222" s="27"/>
      <c r="K222" s="27"/>
      <c r="L222" s="122"/>
      <c r="M222" s="122"/>
      <c r="N222" s="27"/>
    </row>
    <row r="223" spans="1:14" x14ac:dyDescent="0.3">
      <c r="A223" s="5"/>
      <c r="B223" s="21"/>
      <c r="C223" s="92"/>
      <c r="D223" s="5"/>
      <c r="E223" s="5"/>
      <c r="F223" s="5"/>
      <c r="G223" s="5"/>
      <c r="H223" s="27"/>
      <c r="I223" s="15"/>
      <c r="J223" s="15"/>
      <c r="K223" s="15"/>
      <c r="L223" s="91"/>
      <c r="M223" s="91"/>
      <c r="N223" s="27"/>
    </row>
    <row r="224" spans="1:14" x14ac:dyDescent="0.3">
      <c r="A224" s="5"/>
      <c r="B224" s="5"/>
      <c r="C224" s="92"/>
      <c r="D224" s="5"/>
      <c r="E224" s="5"/>
      <c r="F224" s="5"/>
      <c r="G224" s="5"/>
      <c r="H224" s="27"/>
      <c r="I224" s="97"/>
      <c r="J224" s="97"/>
      <c r="K224" s="97"/>
      <c r="L224" s="5"/>
      <c r="N224" s="5"/>
    </row>
    <row r="225" spans="1:14" x14ac:dyDescent="0.3">
      <c r="A225" s="13"/>
      <c r="B225" s="21"/>
      <c r="C225" s="92"/>
      <c r="D225" s="5"/>
      <c r="E225" s="5"/>
      <c r="F225" s="5"/>
      <c r="G225" s="5"/>
      <c r="H225" s="27"/>
      <c r="I225" s="97"/>
      <c r="J225" s="97"/>
      <c r="K225" s="97"/>
      <c r="L225" s="100"/>
      <c r="M225" s="123"/>
      <c r="N225" s="27"/>
    </row>
    <row r="226" spans="1:14" x14ac:dyDescent="0.3">
      <c r="A226" s="5"/>
      <c r="B226" s="21"/>
      <c r="C226" s="92"/>
      <c r="D226" s="5"/>
      <c r="E226" s="5"/>
      <c r="F226" s="5"/>
      <c r="G226" s="5"/>
      <c r="H226" s="27"/>
      <c r="I226" s="27"/>
      <c r="J226" s="27"/>
      <c r="K226" s="27"/>
      <c r="L226" s="27"/>
      <c r="M226" s="91"/>
      <c r="N226" s="27"/>
    </row>
    <row r="227" spans="1:14" x14ac:dyDescent="0.3">
      <c r="A227" s="13"/>
      <c r="B227" s="5"/>
      <c r="C227" s="92"/>
      <c r="D227" s="5"/>
      <c r="E227" s="5"/>
      <c r="F227" s="6"/>
      <c r="G227" s="5"/>
      <c r="H227" s="27"/>
      <c r="I227" s="103"/>
      <c r="J227" s="103"/>
      <c r="K227" s="103"/>
      <c r="L227" s="103"/>
      <c r="M227" s="103"/>
      <c r="N227" s="27"/>
    </row>
    <row r="228" spans="1:14" x14ac:dyDescent="0.3">
      <c r="A228" s="13"/>
      <c r="B228" s="119"/>
      <c r="C228" s="119"/>
      <c r="D228" s="119"/>
      <c r="E228" s="119"/>
      <c r="F228" s="119"/>
      <c r="G228" s="119"/>
      <c r="H228" s="119"/>
      <c r="I228" s="119"/>
      <c r="J228" s="119"/>
      <c r="K228" s="119"/>
      <c r="L228" s="119"/>
      <c r="M228" s="119"/>
      <c r="N228" s="119"/>
    </row>
    <row r="229" spans="1:14" x14ac:dyDescent="0.3">
      <c r="A229" s="13"/>
      <c r="B229" s="17"/>
      <c r="C229" s="17"/>
      <c r="D229" s="17"/>
      <c r="E229" s="17"/>
      <c r="F229" s="17"/>
      <c r="G229" s="17"/>
      <c r="H229" s="17"/>
      <c r="I229" s="17"/>
      <c r="J229" s="17"/>
      <c r="K229" s="17"/>
      <c r="L229" s="17"/>
      <c r="M229" s="17"/>
      <c r="N229" s="17"/>
    </row>
    <row r="230" spans="1:14" x14ac:dyDescent="0.3">
      <c r="A230" s="13" t="s">
        <v>29</v>
      </c>
      <c r="B230" s="106" t="s">
        <v>285</v>
      </c>
      <c r="C230" s="107"/>
      <c r="D230" s="107"/>
      <c r="E230" s="107"/>
      <c r="F230" s="107"/>
      <c r="G230" s="107"/>
      <c r="H230" s="107"/>
      <c r="I230" s="107"/>
      <c r="J230" s="107"/>
      <c r="K230" s="107"/>
      <c r="L230" s="107"/>
      <c r="M230" s="107"/>
      <c r="N230" s="107"/>
    </row>
    <row r="231" spans="1:14" x14ac:dyDescent="0.3">
      <c r="A231" s="13"/>
      <c r="B231" s="5"/>
      <c r="C231" s="5"/>
      <c r="D231" s="5"/>
      <c r="E231" s="5"/>
      <c r="F231" s="5"/>
      <c r="G231" s="5"/>
      <c r="H231" s="5"/>
      <c r="I231" s="5"/>
      <c r="J231" s="5"/>
      <c r="K231" s="5"/>
      <c r="L231" s="5"/>
      <c r="M231" s="5"/>
      <c r="N231" s="5"/>
    </row>
    <row r="232" spans="1:14" x14ac:dyDescent="0.3">
      <c r="A232" s="13"/>
      <c r="B232" s="124"/>
      <c r="C232" s="5"/>
      <c r="D232" s="278"/>
      <c r="E232" s="279"/>
      <c r="F232" s="278"/>
      <c r="G232" s="278"/>
      <c r="H232" s="278"/>
      <c r="I232" s="280"/>
      <c r="J232" s="280"/>
      <c r="K232" s="280"/>
      <c r="L232" s="125"/>
      <c r="M232" s="125"/>
      <c r="N232" s="5"/>
    </row>
    <row r="233" spans="1:14" x14ac:dyDescent="0.3">
      <c r="A233" s="13"/>
      <c r="B233" s="11"/>
      <c r="C233" s="92"/>
      <c r="D233" s="5"/>
      <c r="E233" s="5"/>
      <c r="F233" s="5"/>
      <c r="G233" s="5"/>
      <c r="H233" s="5"/>
      <c r="I233" s="5"/>
      <c r="J233" s="5"/>
      <c r="K233" s="5"/>
      <c r="L233" s="5"/>
      <c r="M233" s="5"/>
      <c r="N233" s="5"/>
    </row>
    <row r="234" spans="1:14" x14ac:dyDescent="0.3">
      <c r="A234" s="5"/>
      <c r="B234" s="21"/>
      <c r="C234" s="92"/>
      <c r="D234" s="5"/>
      <c r="E234" s="5"/>
      <c r="F234" s="5"/>
      <c r="G234" s="5"/>
      <c r="H234" s="27"/>
      <c r="I234" s="32"/>
      <c r="J234" s="32"/>
      <c r="K234" s="32"/>
      <c r="L234" s="32"/>
      <c r="M234" s="32"/>
      <c r="N234" s="5"/>
    </row>
    <row r="235" spans="1:14" x14ac:dyDescent="0.3">
      <c r="A235" s="5"/>
      <c r="B235" s="21"/>
      <c r="C235" s="5"/>
      <c r="D235" s="21"/>
      <c r="E235" s="21"/>
      <c r="F235" s="6"/>
      <c r="G235" s="21"/>
      <c r="H235" s="93"/>
      <c r="I235" s="30"/>
      <c r="J235" s="30"/>
      <c r="K235" s="30"/>
      <c r="L235" s="103"/>
      <c r="M235" s="103"/>
      <c r="N235" s="5"/>
    </row>
    <row r="236" spans="1:14" x14ac:dyDescent="0.3">
      <c r="A236" s="13"/>
      <c r="B236" s="5"/>
      <c r="C236" s="90"/>
      <c r="D236" s="5"/>
      <c r="E236" s="5"/>
      <c r="F236" s="6"/>
      <c r="G236" s="5"/>
      <c r="H236" s="27"/>
      <c r="I236" s="32"/>
      <c r="J236" s="32"/>
      <c r="K236" s="32"/>
      <c r="L236" s="103"/>
      <c r="M236" s="103"/>
      <c r="N236" s="27"/>
    </row>
    <row r="237" spans="1:14" x14ac:dyDescent="0.3">
      <c r="A237" s="5"/>
      <c r="B237" s="5"/>
      <c r="C237" s="90"/>
      <c r="D237" s="5"/>
      <c r="E237" s="5"/>
      <c r="F237" s="6"/>
      <c r="G237" s="5"/>
      <c r="H237" s="27"/>
      <c r="I237" s="94"/>
      <c r="J237" s="94"/>
      <c r="K237" s="94"/>
      <c r="L237" s="103"/>
      <c r="M237" s="103"/>
      <c r="N237" s="27"/>
    </row>
    <row r="238" spans="1:14" x14ac:dyDescent="0.3">
      <c r="A238" s="5"/>
      <c r="B238" s="5"/>
      <c r="C238" s="90"/>
      <c r="D238" s="5"/>
      <c r="E238" s="5"/>
      <c r="F238" s="6"/>
      <c r="G238" s="5"/>
      <c r="H238" s="27"/>
      <c r="I238" s="32"/>
      <c r="J238" s="32"/>
      <c r="K238" s="32"/>
      <c r="L238" s="103"/>
      <c r="M238" s="103"/>
      <c r="N238" s="27"/>
    </row>
    <row r="239" spans="1:14" x14ac:dyDescent="0.3">
      <c r="A239" s="5"/>
      <c r="B239" s="5"/>
      <c r="C239" s="90"/>
      <c r="D239" s="5"/>
      <c r="E239" s="5"/>
      <c r="F239" s="5"/>
      <c r="G239" s="5"/>
      <c r="H239" s="27"/>
      <c r="I239" s="7"/>
      <c r="J239" s="7"/>
      <c r="K239" s="7"/>
      <c r="L239" s="7"/>
      <c r="M239" s="7"/>
      <c r="N239" s="27"/>
    </row>
    <row r="240" spans="1:14" x14ac:dyDescent="0.3">
      <c r="A240" s="13"/>
      <c r="B240" s="23"/>
      <c r="C240" s="88"/>
      <c r="D240" s="5"/>
      <c r="E240" s="5"/>
      <c r="F240" s="5"/>
      <c r="G240" s="5"/>
      <c r="H240" s="27"/>
      <c r="I240" s="15"/>
      <c r="J240" s="15"/>
      <c r="K240" s="15"/>
      <c r="L240" s="15"/>
      <c r="M240" s="15"/>
      <c r="N240" s="27"/>
    </row>
    <row r="241" spans="1:14" x14ac:dyDescent="0.3">
      <c r="A241" s="5"/>
      <c r="B241" s="23"/>
      <c r="C241" s="90"/>
      <c r="D241" s="5"/>
      <c r="E241" s="5"/>
      <c r="F241" s="5"/>
      <c r="G241" s="5"/>
      <c r="H241" s="27"/>
      <c r="I241" s="95"/>
      <c r="J241" s="95"/>
      <c r="K241" s="95"/>
      <c r="L241" s="95"/>
      <c r="M241" s="89"/>
      <c r="N241" s="27"/>
    </row>
    <row r="242" spans="1:14" x14ac:dyDescent="0.3">
      <c r="A242" s="5"/>
      <c r="B242" s="5"/>
      <c r="C242" s="88"/>
      <c r="D242" s="5"/>
      <c r="E242" s="5"/>
      <c r="F242" s="5"/>
      <c r="G242" s="5"/>
      <c r="H242" s="27"/>
      <c r="I242" s="89"/>
      <c r="J242" s="89"/>
      <c r="K242" s="89"/>
      <c r="L242" s="89"/>
      <c r="M242" s="89"/>
      <c r="N242" s="27"/>
    </row>
    <row r="243" spans="1:14" x14ac:dyDescent="0.3">
      <c r="A243" s="5"/>
      <c r="B243" s="5"/>
      <c r="C243" s="90"/>
      <c r="D243" s="5"/>
      <c r="E243" s="5"/>
      <c r="F243" s="5"/>
      <c r="G243" s="5"/>
      <c r="H243" s="27"/>
      <c r="I243" s="32"/>
      <c r="J243" s="32"/>
      <c r="K243" s="32"/>
      <c r="L243" s="32"/>
      <c r="M243" s="89"/>
      <c r="N243" s="27"/>
    </row>
    <row r="244" spans="1:14" x14ac:dyDescent="0.3">
      <c r="A244" s="5"/>
      <c r="B244" s="92"/>
      <c r="C244" s="5"/>
      <c r="D244" s="5"/>
      <c r="E244" s="5"/>
      <c r="F244" s="5"/>
      <c r="G244" s="5"/>
      <c r="H244" s="27"/>
      <c r="I244" s="89"/>
      <c r="J244" s="89"/>
      <c r="K244" s="89"/>
      <c r="L244" s="89"/>
      <c r="M244" s="89"/>
      <c r="N244" s="27"/>
    </row>
    <row r="245" spans="1:14" x14ac:dyDescent="0.3">
      <c r="A245" s="5"/>
      <c r="B245" s="5"/>
      <c r="C245" s="90"/>
      <c r="D245" s="5"/>
      <c r="E245" s="5"/>
      <c r="F245" s="5"/>
      <c r="G245" s="5"/>
      <c r="H245" s="5"/>
      <c r="I245" s="15"/>
      <c r="J245" s="15"/>
      <c r="K245" s="15"/>
      <c r="L245" s="15"/>
      <c r="M245" s="15"/>
      <c r="N245" s="27"/>
    </row>
    <row r="246" spans="1:14" x14ac:dyDescent="0.3">
      <c r="A246" s="5"/>
      <c r="B246" s="21"/>
      <c r="C246" s="90"/>
      <c r="D246" s="5"/>
      <c r="E246" s="5"/>
      <c r="F246" s="5"/>
      <c r="G246" s="5"/>
      <c r="H246" s="27"/>
      <c r="I246" s="15"/>
      <c r="J246" s="15"/>
      <c r="K246" s="15"/>
      <c r="L246" s="15"/>
      <c r="M246" s="15"/>
      <c r="N246" s="27"/>
    </row>
    <row r="247" spans="1:14" x14ac:dyDescent="0.3">
      <c r="A247" s="13"/>
      <c r="B247" s="23"/>
      <c r="C247" s="21"/>
      <c r="D247" s="5"/>
      <c r="E247" s="5"/>
      <c r="F247" s="5"/>
      <c r="G247" s="5"/>
      <c r="H247" s="27"/>
      <c r="I247" s="15"/>
      <c r="J247" s="15"/>
      <c r="K247" s="15"/>
      <c r="L247" s="15"/>
      <c r="M247" s="30"/>
      <c r="N247" s="27"/>
    </row>
    <row r="248" spans="1:14" x14ac:dyDescent="0.3">
      <c r="A248" s="5"/>
      <c r="B248" s="23"/>
      <c r="C248" s="90"/>
      <c r="D248" s="5"/>
      <c r="E248" s="5"/>
      <c r="F248" s="5"/>
      <c r="G248" s="5"/>
      <c r="H248" s="27"/>
      <c r="I248" s="15"/>
      <c r="J248" s="15"/>
      <c r="K248" s="15"/>
      <c r="L248" s="15"/>
      <c r="M248" s="15"/>
      <c r="N248" s="27"/>
    </row>
    <row r="249" spans="1:14" x14ac:dyDescent="0.3">
      <c r="A249" s="5"/>
      <c r="B249" s="5"/>
      <c r="C249" s="90"/>
      <c r="D249" s="5"/>
      <c r="E249" s="5"/>
      <c r="F249" s="5"/>
      <c r="G249" s="5"/>
      <c r="H249" s="27"/>
      <c r="I249" s="15"/>
      <c r="J249" s="15"/>
      <c r="K249" s="15"/>
      <c r="L249" s="32"/>
      <c r="M249" s="15"/>
      <c r="N249" s="27"/>
    </row>
    <row r="250" spans="1:14" x14ac:dyDescent="0.3">
      <c r="A250" s="5"/>
      <c r="B250" s="23"/>
      <c r="C250" s="90"/>
      <c r="D250" s="5"/>
      <c r="E250" s="5"/>
      <c r="F250" s="5"/>
      <c r="G250" s="5"/>
      <c r="H250" s="27"/>
      <c r="I250" s="97"/>
      <c r="J250" s="97"/>
      <c r="K250" s="97"/>
      <c r="L250" s="97"/>
      <c r="M250" s="15"/>
      <c r="N250" s="27"/>
    </row>
    <row r="251" spans="1:14" x14ac:dyDescent="0.3">
      <c r="A251" s="5"/>
      <c r="B251" s="21"/>
      <c r="C251" s="92"/>
      <c r="D251" s="5"/>
      <c r="E251" s="5"/>
      <c r="F251" s="5"/>
      <c r="G251" s="5"/>
      <c r="H251" s="27"/>
      <c r="I251" s="27"/>
      <c r="J251" s="27"/>
      <c r="K251" s="27"/>
      <c r="L251" s="110"/>
      <c r="M251" s="15"/>
      <c r="N251" s="27"/>
    </row>
    <row r="252" spans="1:14" x14ac:dyDescent="0.3">
      <c r="A252" s="5"/>
      <c r="B252" s="88"/>
      <c r="C252" s="21"/>
      <c r="D252" s="5"/>
      <c r="E252" s="5"/>
      <c r="F252" s="5"/>
      <c r="G252" s="5"/>
      <c r="H252" s="27"/>
      <c r="I252" s="27"/>
      <c r="J252" s="27"/>
      <c r="K252" s="27"/>
      <c r="L252" s="91"/>
      <c r="M252" s="30"/>
      <c r="N252" s="27"/>
    </row>
    <row r="253" spans="1:14" x14ac:dyDescent="0.3">
      <c r="A253" s="5"/>
      <c r="B253" s="21"/>
      <c r="C253" s="92"/>
      <c r="D253" s="5"/>
      <c r="E253" s="5"/>
      <c r="F253" s="5"/>
      <c r="G253" s="5"/>
      <c r="H253" s="27"/>
      <c r="I253" s="27"/>
      <c r="J253" s="27"/>
      <c r="K253" s="27"/>
      <c r="L253" s="122"/>
      <c r="M253" s="122"/>
      <c r="N253" s="27"/>
    </row>
    <row r="254" spans="1:14" x14ac:dyDescent="0.3">
      <c r="A254" s="5"/>
      <c r="B254" s="21"/>
      <c r="C254" s="92"/>
      <c r="D254" s="5"/>
      <c r="E254" s="5"/>
      <c r="F254" s="5"/>
      <c r="G254" s="5"/>
      <c r="H254" s="27"/>
      <c r="I254" s="15"/>
      <c r="J254" s="15"/>
      <c r="K254" s="15"/>
      <c r="L254" s="91"/>
      <c r="M254" s="91"/>
      <c r="N254" s="27"/>
    </row>
    <row r="255" spans="1:14" x14ac:dyDescent="0.3">
      <c r="A255" s="5"/>
      <c r="B255" s="5"/>
      <c r="C255" s="92"/>
      <c r="D255" s="5"/>
      <c r="E255" s="5"/>
      <c r="F255" s="5"/>
      <c r="G255" s="5"/>
      <c r="H255" s="27"/>
      <c r="I255" s="97"/>
      <c r="J255" s="97"/>
      <c r="K255" s="97"/>
      <c r="L255" s="5"/>
      <c r="N255" s="5"/>
    </row>
    <row r="256" spans="1:14" x14ac:dyDescent="0.3">
      <c r="A256" s="13"/>
      <c r="B256" s="21"/>
      <c r="C256" s="92"/>
      <c r="D256" s="5"/>
      <c r="E256" s="5"/>
      <c r="F256" s="5"/>
      <c r="G256" s="5"/>
      <c r="H256" s="27"/>
      <c r="I256" s="97"/>
      <c r="J256" s="97"/>
      <c r="K256" s="97"/>
      <c r="L256" s="100"/>
      <c r="M256" s="123"/>
      <c r="N256" s="27"/>
    </row>
    <row r="257" spans="1:14" x14ac:dyDescent="0.3">
      <c r="A257" s="5"/>
      <c r="B257" s="21"/>
      <c r="C257" s="92"/>
      <c r="D257" s="5"/>
      <c r="E257" s="5"/>
      <c r="F257" s="5"/>
      <c r="G257" s="5"/>
      <c r="H257" s="27"/>
      <c r="I257" s="27"/>
      <c r="J257" s="27"/>
      <c r="K257" s="27"/>
      <c r="L257" s="27"/>
      <c r="M257" s="91"/>
      <c r="N257" s="27"/>
    </row>
    <row r="258" spans="1:14" x14ac:dyDescent="0.3">
      <c r="A258" s="13"/>
      <c r="B258" s="5"/>
      <c r="C258" s="92"/>
      <c r="D258" s="5"/>
      <c r="E258" s="5"/>
      <c r="F258" s="6"/>
      <c r="G258" s="5"/>
      <c r="H258" s="27"/>
      <c r="I258" s="103"/>
      <c r="J258" s="103"/>
      <c r="K258" s="103"/>
      <c r="L258" s="103"/>
      <c r="M258" s="103"/>
      <c r="N258" s="27"/>
    </row>
    <row r="259" spans="1:14" x14ac:dyDescent="0.3">
      <c r="A259" s="13"/>
      <c r="B259" s="119"/>
      <c r="C259" s="119"/>
      <c r="D259" s="119"/>
      <c r="E259" s="119"/>
      <c r="F259" s="119"/>
      <c r="G259" s="119"/>
      <c r="H259" s="119"/>
      <c r="I259" s="119"/>
      <c r="J259" s="119"/>
      <c r="K259" s="119"/>
      <c r="L259" s="119"/>
      <c r="M259" s="119"/>
      <c r="N259" s="119"/>
    </row>
    <row r="260" spans="1:14" x14ac:dyDescent="0.3">
      <c r="A260" s="13"/>
      <c r="B260" s="17"/>
      <c r="C260" s="17"/>
      <c r="D260" s="17"/>
      <c r="E260" s="17"/>
      <c r="F260" s="17"/>
      <c r="G260" s="17"/>
      <c r="H260" s="17"/>
      <c r="I260" s="17"/>
      <c r="J260" s="17"/>
      <c r="K260" s="17"/>
      <c r="L260" s="17"/>
      <c r="M260" s="17"/>
      <c r="N260" s="17"/>
    </row>
    <row r="261" spans="1:14" x14ac:dyDescent="0.3">
      <c r="A261" s="13" t="s">
        <v>29</v>
      </c>
      <c r="B261" s="106" t="s">
        <v>286</v>
      </c>
      <c r="C261" s="107"/>
      <c r="D261" s="107"/>
      <c r="E261" s="107"/>
      <c r="F261" s="107"/>
      <c r="G261" s="107"/>
      <c r="H261" s="107"/>
      <c r="I261" s="107"/>
      <c r="J261" s="107"/>
      <c r="K261" s="107"/>
      <c r="L261" s="107"/>
      <c r="M261" s="107"/>
      <c r="N261" s="107"/>
    </row>
    <row r="262" spans="1:14" x14ac:dyDescent="0.3">
      <c r="A262" s="13"/>
      <c r="B262" s="5"/>
      <c r="C262" s="5"/>
      <c r="D262" s="5"/>
      <c r="E262" s="5"/>
      <c r="F262" s="5"/>
      <c r="G262" s="5"/>
      <c r="H262" s="5"/>
      <c r="I262" s="5"/>
      <c r="J262" s="5"/>
      <c r="K262" s="5"/>
      <c r="L262" s="5"/>
      <c r="M262" s="5"/>
      <c r="N262" s="5"/>
    </row>
    <row r="263" spans="1:14" x14ac:dyDescent="0.3">
      <c r="A263" s="13"/>
      <c r="B263" s="124"/>
      <c r="C263" s="5"/>
      <c r="D263" s="278"/>
      <c r="E263" s="279"/>
      <c r="F263" s="278"/>
      <c r="G263" s="278"/>
      <c r="H263" s="278"/>
      <c r="I263" s="280"/>
      <c r="J263" s="280"/>
      <c r="K263" s="280"/>
      <c r="L263" s="125"/>
      <c r="M263" s="125"/>
      <c r="N263" s="5"/>
    </row>
    <row r="264" spans="1:14" x14ac:dyDescent="0.3">
      <c r="A264" s="13"/>
      <c r="B264" s="11"/>
      <c r="C264" s="92"/>
      <c r="D264" s="5"/>
      <c r="E264" s="5"/>
      <c r="F264" s="5"/>
      <c r="G264" s="5"/>
      <c r="H264" s="5"/>
      <c r="I264" s="5"/>
      <c r="J264" s="5"/>
      <c r="K264" s="5"/>
      <c r="L264" s="5"/>
      <c r="M264" s="5"/>
      <c r="N264" s="5"/>
    </row>
    <row r="265" spans="1:14" x14ac:dyDescent="0.3">
      <c r="A265" s="5"/>
      <c r="B265" s="21"/>
      <c r="C265" s="92"/>
      <c r="D265" s="5"/>
      <c r="E265" s="5"/>
      <c r="F265" s="5"/>
      <c r="G265" s="5"/>
      <c r="H265" s="27"/>
      <c r="I265" s="32"/>
      <c r="J265" s="32"/>
      <c r="K265" s="32"/>
      <c r="L265" s="32"/>
      <c r="M265" s="32"/>
      <c r="N265" s="5"/>
    </row>
    <row r="266" spans="1:14" x14ac:dyDescent="0.3">
      <c r="A266" s="5"/>
      <c r="B266" s="21"/>
      <c r="C266" s="5"/>
      <c r="D266" s="21"/>
      <c r="E266" s="21"/>
      <c r="F266" s="6"/>
      <c r="G266" s="21"/>
      <c r="H266" s="93"/>
      <c r="I266" s="30"/>
      <c r="J266" s="30"/>
      <c r="K266" s="30"/>
      <c r="L266" s="103"/>
      <c r="M266" s="103"/>
      <c r="N266" s="5"/>
    </row>
    <row r="267" spans="1:14" x14ac:dyDescent="0.3">
      <c r="A267" s="13"/>
      <c r="B267" s="5"/>
      <c r="C267" s="90"/>
      <c r="D267" s="5"/>
      <c r="E267" s="5"/>
      <c r="F267" s="6"/>
      <c r="G267" s="5"/>
      <c r="H267" s="27"/>
      <c r="I267" s="32"/>
      <c r="J267" s="32"/>
      <c r="K267" s="32"/>
      <c r="L267" s="103"/>
      <c r="M267" s="103"/>
      <c r="N267" s="27"/>
    </row>
    <row r="268" spans="1:14" x14ac:dyDescent="0.3">
      <c r="A268" s="5"/>
      <c r="B268" s="5"/>
      <c r="C268" s="90"/>
      <c r="D268" s="5"/>
      <c r="E268" s="5"/>
      <c r="F268" s="6"/>
      <c r="G268" s="5"/>
      <c r="H268" s="27"/>
      <c r="I268" s="94"/>
      <c r="J268" s="94"/>
      <c r="K268" s="94"/>
      <c r="L268" s="103"/>
      <c r="M268" s="103"/>
      <c r="N268" s="27"/>
    </row>
    <row r="269" spans="1:14" x14ac:dyDescent="0.3">
      <c r="A269" s="5"/>
      <c r="B269" s="5"/>
      <c r="C269" s="90"/>
      <c r="D269" s="5"/>
      <c r="E269" s="5"/>
      <c r="F269" s="6"/>
      <c r="G269" s="5"/>
      <c r="H269" s="27"/>
      <c r="I269" s="32"/>
      <c r="J269" s="32"/>
      <c r="K269" s="32"/>
      <c r="L269" s="103"/>
      <c r="M269" s="103"/>
      <c r="N269" s="27"/>
    </row>
    <row r="270" spans="1:14" x14ac:dyDescent="0.3">
      <c r="A270" s="5"/>
      <c r="B270" s="5"/>
      <c r="C270" s="90"/>
      <c r="D270" s="5"/>
      <c r="E270" s="5"/>
      <c r="F270" s="5"/>
      <c r="G270" s="5"/>
      <c r="H270" s="27"/>
      <c r="I270" s="7"/>
      <c r="J270" s="7"/>
      <c r="K270" s="7"/>
      <c r="L270" s="7"/>
      <c r="M270" s="7"/>
      <c r="N270" s="27"/>
    </row>
    <row r="271" spans="1:14" x14ac:dyDescent="0.3">
      <c r="A271" s="13"/>
      <c r="B271" s="23"/>
      <c r="C271" s="88"/>
      <c r="D271" s="5"/>
      <c r="E271" s="5"/>
      <c r="F271" s="5"/>
      <c r="G271" s="5"/>
      <c r="H271" s="27"/>
      <c r="I271" s="15"/>
      <c r="J271" s="15"/>
      <c r="K271" s="15"/>
      <c r="L271" s="15"/>
      <c r="M271" s="15"/>
      <c r="N271" s="27"/>
    </row>
    <row r="272" spans="1:14" x14ac:dyDescent="0.3">
      <c r="A272" s="5"/>
      <c r="B272" s="23"/>
      <c r="C272" s="90"/>
      <c r="D272" s="5"/>
      <c r="E272" s="5"/>
      <c r="F272" s="5"/>
      <c r="G272" s="5"/>
      <c r="H272" s="27"/>
      <c r="I272" s="95"/>
      <c r="J272" s="95"/>
      <c r="K272" s="95"/>
      <c r="L272" s="95"/>
      <c r="M272" s="89"/>
      <c r="N272" s="27"/>
    </row>
    <row r="273" spans="1:14" x14ac:dyDescent="0.3">
      <c r="A273" s="5"/>
      <c r="B273" s="5"/>
      <c r="C273" s="88"/>
      <c r="D273" s="5"/>
      <c r="E273" s="5"/>
      <c r="F273" s="5"/>
      <c r="G273" s="5"/>
      <c r="H273" s="27"/>
      <c r="I273" s="89"/>
      <c r="J273" s="89"/>
      <c r="K273" s="89"/>
      <c r="L273" s="89"/>
      <c r="M273" s="89"/>
      <c r="N273" s="27"/>
    </row>
    <row r="274" spans="1:14" x14ac:dyDescent="0.3">
      <c r="A274" s="5"/>
      <c r="B274" s="5"/>
      <c r="C274" s="90"/>
      <c r="D274" s="5"/>
      <c r="E274" s="5"/>
      <c r="F274" s="5"/>
      <c r="G274" s="5"/>
      <c r="H274" s="27"/>
      <c r="I274" s="32"/>
      <c r="J274" s="32"/>
      <c r="K274" s="32"/>
      <c r="L274" s="32"/>
      <c r="M274" s="89"/>
      <c r="N274" s="27"/>
    </row>
    <row r="275" spans="1:14" x14ac:dyDescent="0.3">
      <c r="A275" s="5"/>
      <c r="B275" s="92"/>
      <c r="C275" s="5"/>
      <c r="D275" s="5"/>
      <c r="E275" s="5"/>
      <c r="F275" s="5"/>
      <c r="G275" s="5"/>
      <c r="H275" s="27"/>
      <c r="I275" s="89"/>
      <c r="J275" s="89"/>
      <c r="K275" s="89"/>
      <c r="L275" s="89"/>
      <c r="M275" s="89"/>
      <c r="N275" s="27"/>
    </row>
    <row r="276" spans="1:14" x14ac:dyDescent="0.3">
      <c r="A276" s="5"/>
      <c r="B276" s="5"/>
      <c r="C276" s="90"/>
      <c r="D276" s="5"/>
      <c r="E276" s="5"/>
      <c r="F276" s="5"/>
      <c r="G276" s="5"/>
      <c r="H276" s="5"/>
      <c r="I276" s="15"/>
      <c r="J276" s="15"/>
      <c r="K276" s="15"/>
      <c r="L276" s="15"/>
      <c r="M276" s="15"/>
      <c r="N276" s="27"/>
    </row>
    <row r="277" spans="1:14" x14ac:dyDescent="0.3">
      <c r="A277" s="5"/>
      <c r="B277" s="21"/>
      <c r="C277" s="90"/>
      <c r="D277" s="5"/>
      <c r="E277" s="5"/>
      <c r="F277" s="5"/>
      <c r="G277" s="5"/>
      <c r="H277" s="27"/>
      <c r="I277" s="15"/>
      <c r="J277" s="15"/>
      <c r="K277" s="15"/>
      <c r="L277" s="15"/>
      <c r="M277" s="15"/>
      <c r="N277" s="27"/>
    </row>
    <row r="278" spans="1:14" x14ac:dyDescent="0.3">
      <c r="A278" s="13"/>
      <c r="B278" s="23"/>
      <c r="C278" s="21"/>
      <c r="D278" s="5"/>
      <c r="E278" s="5"/>
      <c r="F278" s="5"/>
      <c r="G278" s="5"/>
      <c r="H278" s="27"/>
      <c r="I278" s="15"/>
      <c r="J278" s="15"/>
      <c r="K278" s="15"/>
      <c r="L278" s="15"/>
      <c r="M278" s="30"/>
      <c r="N278" s="27"/>
    </row>
    <row r="279" spans="1:14" x14ac:dyDescent="0.3">
      <c r="A279" s="5"/>
      <c r="B279" s="23"/>
      <c r="C279" s="90"/>
      <c r="D279" s="5"/>
      <c r="E279" s="5"/>
      <c r="F279" s="5"/>
      <c r="G279" s="5"/>
      <c r="H279" s="27"/>
      <c r="I279" s="15"/>
      <c r="J279" s="15"/>
      <c r="K279" s="15"/>
      <c r="L279" s="15"/>
      <c r="M279" s="15"/>
      <c r="N279" s="27"/>
    </row>
    <row r="280" spans="1:14" x14ac:dyDescent="0.3">
      <c r="A280" s="5"/>
      <c r="B280" s="5"/>
      <c r="C280" s="90"/>
      <c r="D280" s="5"/>
      <c r="E280" s="5"/>
      <c r="F280" s="5"/>
      <c r="G280" s="5"/>
      <c r="H280" s="27"/>
      <c r="I280" s="15"/>
      <c r="J280" s="15"/>
      <c r="K280" s="15"/>
      <c r="L280" s="32"/>
      <c r="M280" s="15"/>
      <c r="N280" s="27"/>
    </row>
    <row r="281" spans="1:14" x14ac:dyDescent="0.3">
      <c r="A281" s="5"/>
      <c r="B281" s="23"/>
      <c r="C281" s="90"/>
      <c r="D281" s="5"/>
      <c r="E281" s="5"/>
      <c r="F281" s="5"/>
      <c r="G281" s="5"/>
      <c r="H281" s="27"/>
      <c r="I281" s="97"/>
      <c r="J281" s="97"/>
      <c r="K281" s="97"/>
      <c r="L281" s="97"/>
      <c r="M281" s="15"/>
      <c r="N281" s="27"/>
    </row>
    <row r="282" spans="1:14" x14ac:dyDescent="0.3">
      <c r="A282" s="5"/>
      <c r="B282" s="21"/>
      <c r="C282" s="92"/>
      <c r="D282" s="5"/>
      <c r="E282" s="5"/>
      <c r="F282" s="5"/>
      <c r="G282" s="5"/>
      <c r="H282" s="27"/>
      <c r="I282" s="27"/>
      <c r="J282" s="27"/>
      <c r="K282" s="27"/>
      <c r="L282" s="110"/>
      <c r="M282" s="15"/>
      <c r="N282" s="27"/>
    </row>
    <row r="283" spans="1:14" x14ac:dyDescent="0.3">
      <c r="A283" s="5"/>
      <c r="B283" s="88"/>
      <c r="C283" s="21"/>
      <c r="D283" s="5"/>
      <c r="E283" s="5"/>
      <c r="F283" s="5"/>
      <c r="G283" s="5"/>
      <c r="H283" s="27"/>
      <c r="I283" s="27"/>
      <c r="J283" s="27"/>
      <c r="K283" s="27"/>
      <c r="L283" s="91"/>
      <c r="M283" s="30"/>
      <c r="N283" s="27"/>
    </row>
    <row r="284" spans="1:14" x14ac:dyDescent="0.3">
      <c r="A284" s="5"/>
      <c r="B284" s="21"/>
      <c r="C284" s="92"/>
      <c r="D284" s="5"/>
      <c r="E284" s="5"/>
      <c r="F284" s="5"/>
      <c r="G284" s="5"/>
      <c r="H284" s="27"/>
      <c r="I284" s="27"/>
      <c r="J284" s="27"/>
      <c r="K284" s="27"/>
      <c r="L284" s="122"/>
      <c r="M284" s="122"/>
      <c r="N284" s="27"/>
    </row>
    <row r="285" spans="1:14" x14ac:dyDescent="0.3">
      <c r="A285" s="5"/>
      <c r="B285" s="21"/>
      <c r="C285" s="92"/>
      <c r="D285" s="5"/>
      <c r="E285" s="5"/>
      <c r="F285" s="5"/>
      <c r="G285" s="5"/>
      <c r="H285" s="27"/>
      <c r="I285" s="15"/>
      <c r="J285" s="15"/>
      <c r="K285" s="15"/>
      <c r="L285" s="91"/>
      <c r="M285" s="91"/>
      <c r="N285" s="27"/>
    </row>
    <row r="286" spans="1:14" x14ac:dyDescent="0.3">
      <c r="A286" s="5"/>
      <c r="B286" s="5"/>
      <c r="C286" s="92"/>
      <c r="D286" s="5"/>
      <c r="E286" s="5"/>
      <c r="F286" s="5"/>
      <c r="G286" s="5"/>
      <c r="H286" s="27"/>
      <c r="I286" s="97"/>
      <c r="J286" s="97"/>
      <c r="K286" s="97"/>
      <c r="L286" s="5"/>
      <c r="N286" s="5"/>
    </row>
    <row r="287" spans="1:14" x14ac:dyDescent="0.3">
      <c r="A287" s="13"/>
      <c r="B287" s="21"/>
      <c r="C287" s="92"/>
      <c r="D287" s="5"/>
      <c r="E287" s="5"/>
      <c r="F287" s="5"/>
      <c r="G287" s="5"/>
      <c r="H287" s="27"/>
      <c r="I287" s="97"/>
      <c r="J287" s="97"/>
      <c r="K287" s="97"/>
      <c r="L287" s="100"/>
      <c r="M287" s="123"/>
      <c r="N287" s="27"/>
    </row>
    <row r="288" spans="1:14" x14ac:dyDescent="0.3">
      <c r="A288" s="5"/>
      <c r="B288" s="21"/>
      <c r="C288" s="92"/>
      <c r="D288" s="5"/>
      <c r="E288" s="5"/>
      <c r="F288" s="5"/>
      <c r="G288" s="5"/>
      <c r="H288" s="27"/>
      <c r="I288" s="27"/>
      <c r="J288" s="27"/>
      <c r="K288" s="27"/>
      <c r="L288" s="27"/>
      <c r="M288" s="91"/>
      <c r="N288" s="27"/>
    </row>
    <row r="289" spans="1:19" x14ac:dyDescent="0.3">
      <c r="A289" s="13"/>
      <c r="B289" s="5"/>
      <c r="C289" s="92"/>
      <c r="D289" s="5"/>
      <c r="E289" s="5"/>
      <c r="F289" s="6"/>
      <c r="G289" s="5"/>
      <c r="H289" s="27"/>
      <c r="I289" s="103"/>
      <c r="J289" s="103"/>
      <c r="K289" s="103"/>
      <c r="L289" s="103"/>
      <c r="M289" s="103"/>
      <c r="N289" s="27"/>
    </row>
    <row r="290" spans="1:19" x14ac:dyDescent="0.3">
      <c r="A290" s="13"/>
      <c r="B290" s="119"/>
      <c r="C290" s="119"/>
      <c r="D290" s="119"/>
      <c r="E290" s="119"/>
      <c r="F290" s="119"/>
      <c r="G290" s="119"/>
      <c r="H290" s="119"/>
      <c r="I290" s="119"/>
      <c r="J290" s="119"/>
      <c r="K290" s="119"/>
      <c r="L290" s="119"/>
      <c r="M290" s="119"/>
      <c r="N290" s="119"/>
    </row>
    <row r="291" spans="1:19" x14ac:dyDescent="0.3">
      <c r="A291" s="13"/>
      <c r="B291" s="17"/>
      <c r="C291" s="17"/>
      <c r="D291" s="17"/>
      <c r="E291" s="17"/>
      <c r="F291" s="17"/>
      <c r="G291" s="17"/>
      <c r="H291" s="17"/>
      <c r="I291" s="17"/>
      <c r="J291" s="17"/>
      <c r="K291" s="17"/>
      <c r="L291" s="17"/>
      <c r="M291" s="17"/>
      <c r="N291" s="17"/>
    </row>
    <row r="292" spans="1:19" x14ac:dyDescent="0.3">
      <c r="A292" s="13" t="s">
        <v>29</v>
      </c>
      <c r="B292" s="106" t="s">
        <v>287</v>
      </c>
      <c r="C292" s="107"/>
      <c r="D292" s="107"/>
      <c r="E292" s="107"/>
      <c r="F292" s="107"/>
      <c r="G292" s="107"/>
      <c r="H292" s="107"/>
      <c r="I292" s="107"/>
      <c r="J292" s="107"/>
      <c r="K292" s="107"/>
      <c r="L292" s="107"/>
      <c r="M292" s="107"/>
      <c r="N292" s="107"/>
    </row>
    <row r="293" spans="1:19" x14ac:dyDescent="0.3">
      <c r="A293" s="13"/>
      <c r="B293" s="5"/>
      <c r="C293" s="5"/>
      <c r="D293" s="5"/>
      <c r="E293" s="5"/>
      <c r="F293" s="5"/>
      <c r="G293" s="5"/>
      <c r="H293" s="5"/>
      <c r="I293" s="5"/>
      <c r="J293" s="5"/>
      <c r="K293" s="5"/>
      <c r="L293" s="5"/>
      <c r="M293" s="5"/>
      <c r="N293" s="5"/>
    </row>
    <row r="294" spans="1:19" x14ac:dyDescent="0.3">
      <c r="A294" s="13"/>
      <c r="B294" s="124"/>
      <c r="C294" s="5"/>
      <c r="D294" s="278"/>
      <c r="E294" s="279"/>
      <c r="F294" s="278"/>
      <c r="G294" s="278"/>
      <c r="H294" s="278"/>
      <c r="I294" s="280"/>
      <c r="J294" s="280"/>
      <c r="K294" s="280"/>
      <c r="L294" s="125"/>
      <c r="M294" s="125"/>
      <c r="N294" s="5"/>
    </row>
    <row r="295" spans="1:19" x14ac:dyDescent="0.3">
      <c r="A295" s="13"/>
      <c r="B295" s="11"/>
      <c r="C295" s="92"/>
      <c r="D295" s="5"/>
      <c r="E295" s="5"/>
      <c r="F295" s="5"/>
      <c r="G295" s="5"/>
      <c r="H295" s="5"/>
      <c r="I295" s="5"/>
      <c r="J295" s="5"/>
      <c r="K295" s="5"/>
      <c r="L295" s="5"/>
      <c r="M295" s="5"/>
      <c r="N295" s="5"/>
    </row>
    <row r="296" spans="1:19" x14ac:dyDescent="0.3">
      <c r="A296" s="5"/>
      <c r="B296" s="21"/>
      <c r="C296" s="92"/>
      <c r="D296" s="5"/>
      <c r="E296" s="5"/>
      <c r="F296" s="5"/>
      <c r="G296" s="5"/>
      <c r="H296" s="27"/>
      <c r="I296" s="32"/>
      <c r="J296" s="32"/>
      <c r="K296" s="32"/>
      <c r="L296" s="32"/>
      <c r="M296" s="32"/>
      <c r="N296" s="5"/>
    </row>
    <row r="297" spans="1:19" x14ac:dyDescent="0.3">
      <c r="A297" s="5"/>
      <c r="B297" s="21"/>
      <c r="C297" s="5"/>
      <c r="D297" s="21"/>
      <c r="E297" s="21"/>
      <c r="F297" s="6"/>
      <c r="G297" s="21"/>
      <c r="H297" s="93"/>
      <c r="I297" s="30"/>
      <c r="J297" s="30"/>
      <c r="K297" s="30"/>
      <c r="L297" s="103"/>
      <c r="M297" s="103"/>
      <c r="N297" s="5"/>
    </row>
    <row r="298" spans="1:19" x14ac:dyDescent="0.3">
      <c r="A298" s="13"/>
      <c r="B298" s="5"/>
      <c r="C298" s="90"/>
      <c r="D298" s="5"/>
      <c r="E298" s="5"/>
      <c r="F298" s="6"/>
      <c r="G298" s="5"/>
      <c r="H298" s="27"/>
      <c r="I298" s="32"/>
      <c r="J298" s="32"/>
      <c r="K298" s="32"/>
      <c r="L298" s="103"/>
      <c r="M298" s="103"/>
      <c r="N298" s="27"/>
    </row>
    <row r="299" spans="1:19" x14ac:dyDescent="0.3">
      <c r="A299" s="5"/>
      <c r="B299" s="5"/>
      <c r="C299" s="90"/>
      <c r="D299" s="5"/>
      <c r="E299" s="5"/>
      <c r="F299" s="6"/>
      <c r="G299" s="5"/>
      <c r="H299" s="27"/>
      <c r="I299" s="94"/>
      <c r="J299" s="94"/>
      <c r="K299" s="94"/>
      <c r="L299" s="103"/>
      <c r="M299" s="103"/>
      <c r="N299" s="27"/>
    </row>
    <row r="300" spans="1:19" x14ac:dyDescent="0.3">
      <c r="A300" s="5"/>
      <c r="B300" s="5"/>
      <c r="C300" s="90"/>
      <c r="D300" s="5"/>
      <c r="E300" s="5"/>
      <c r="F300" s="6"/>
      <c r="G300" s="5"/>
      <c r="H300" s="27"/>
      <c r="I300" s="32"/>
      <c r="J300" s="32"/>
      <c r="K300" s="32"/>
      <c r="L300" s="103"/>
      <c r="M300" s="103"/>
      <c r="N300" s="27"/>
    </row>
    <row r="301" spans="1:19" x14ac:dyDescent="0.3">
      <c r="A301" s="5"/>
      <c r="B301" s="5"/>
      <c r="C301" s="90"/>
      <c r="D301" s="5"/>
      <c r="E301" s="5"/>
      <c r="F301" s="5"/>
      <c r="G301" s="5"/>
      <c r="H301" s="27"/>
      <c r="I301" s="7"/>
      <c r="J301" s="7"/>
      <c r="K301" s="7"/>
      <c r="L301" s="7"/>
      <c r="M301" s="7"/>
      <c r="N301" s="27"/>
    </row>
    <row r="302" spans="1:19" x14ac:dyDescent="0.3">
      <c r="A302" s="13"/>
      <c r="B302" s="23"/>
      <c r="C302" s="88"/>
      <c r="D302" s="5"/>
      <c r="E302" s="5"/>
      <c r="F302" s="5"/>
      <c r="G302" s="5"/>
      <c r="H302" s="27"/>
      <c r="I302" s="15"/>
      <c r="J302" s="15"/>
      <c r="K302" s="15"/>
      <c r="L302" s="15"/>
      <c r="M302" s="15"/>
      <c r="N302" s="27"/>
    </row>
    <row r="303" spans="1:19" x14ac:dyDescent="0.3">
      <c r="A303" s="5"/>
      <c r="B303" s="23"/>
      <c r="C303" s="90"/>
      <c r="D303" s="5"/>
      <c r="E303" s="5"/>
      <c r="F303" s="5"/>
      <c r="G303" s="5"/>
      <c r="H303" s="27"/>
      <c r="I303" s="95"/>
      <c r="J303" s="95"/>
      <c r="K303" s="95"/>
      <c r="L303" s="95"/>
      <c r="M303" s="89"/>
      <c r="N303" s="27"/>
      <c r="Q303" s="264"/>
      <c r="R303" s="265">
        <f>L6</f>
        <v>2024</v>
      </c>
      <c r="S303" s="265">
        <f>M6</f>
        <v>2025</v>
      </c>
    </row>
    <row r="304" spans="1:19" x14ac:dyDescent="0.3">
      <c r="A304" s="5"/>
      <c r="B304" s="5"/>
      <c r="C304" s="88"/>
      <c r="D304" s="5"/>
      <c r="E304" s="5"/>
      <c r="F304" s="5"/>
      <c r="G304" s="5"/>
      <c r="H304" s="27"/>
      <c r="I304" s="89"/>
      <c r="J304" s="89"/>
      <c r="K304" s="89"/>
      <c r="L304" s="89"/>
      <c r="M304" s="89"/>
      <c r="N304" s="27"/>
      <c r="Q304" s="239" t="s">
        <v>8</v>
      </c>
      <c r="R304" s="266">
        <f>L60</f>
        <v>1</v>
      </c>
      <c r="S304" s="266">
        <f>M60</f>
        <v>1.2</v>
      </c>
    </row>
    <row r="305" spans="1:19" x14ac:dyDescent="0.3">
      <c r="A305" s="5"/>
      <c r="B305" s="5"/>
      <c r="C305" s="90"/>
      <c r="D305" s="5"/>
      <c r="E305" s="5"/>
      <c r="F305" s="5"/>
      <c r="G305" s="5"/>
      <c r="H305" s="27"/>
      <c r="I305" s="32"/>
      <c r="J305" s="32"/>
      <c r="K305" s="32"/>
      <c r="L305" s="32"/>
      <c r="M305" s="89"/>
      <c r="N305" s="27"/>
      <c r="Q305" s="239" t="s">
        <v>9</v>
      </c>
      <c r="R305" s="266">
        <f>L61</f>
        <v>1</v>
      </c>
      <c r="S305" s="266">
        <f>M61</f>
        <v>0.6</v>
      </c>
    </row>
    <row r="306" spans="1:19" x14ac:dyDescent="0.3">
      <c r="A306" s="5"/>
      <c r="B306" s="92"/>
      <c r="C306" s="5"/>
      <c r="D306" s="5"/>
      <c r="E306" s="5"/>
      <c r="F306" s="5"/>
      <c r="G306" s="5"/>
      <c r="H306" s="27"/>
      <c r="I306" s="89"/>
      <c r="J306" s="89"/>
      <c r="K306" s="89"/>
      <c r="L306" s="89"/>
      <c r="M306" s="89"/>
      <c r="N306" s="27"/>
    </row>
    <row r="307" spans="1:19" x14ac:dyDescent="0.3">
      <c r="A307" s="5"/>
      <c r="B307" s="5"/>
      <c r="C307" s="90"/>
      <c r="D307" s="5"/>
      <c r="E307" s="5"/>
      <c r="F307" s="5"/>
      <c r="G307" s="5"/>
      <c r="H307" s="5"/>
      <c r="I307" s="15"/>
      <c r="J307" s="15"/>
      <c r="K307" s="15"/>
      <c r="L307" s="15"/>
      <c r="M307" s="15"/>
      <c r="N307" s="27"/>
    </row>
    <row r="308" spans="1:19" x14ac:dyDescent="0.3">
      <c r="A308" s="5"/>
      <c r="B308" s="21"/>
      <c r="C308" s="90"/>
      <c r="D308" s="5"/>
      <c r="E308" s="5"/>
      <c r="F308" s="5"/>
      <c r="G308" s="5"/>
      <c r="H308" s="27"/>
      <c r="I308" s="15"/>
      <c r="J308" s="15"/>
      <c r="K308" s="15"/>
      <c r="L308" s="15"/>
      <c r="M308" s="15"/>
      <c r="N308" s="27"/>
    </row>
    <row r="309" spans="1:19" x14ac:dyDescent="0.3">
      <c r="A309" s="13"/>
      <c r="B309" s="23"/>
      <c r="C309" s="21"/>
      <c r="D309" s="5"/>
      <c r="E309" s="5"/>
      <c r="F309" s="5"/>
      <c r="G309" s="5"/>
      <c r="H309" s="27"/>
      <c r="I309" s="15"/>
      <c r="J309" s="15"/>
      <c r="K309" s="15"/>
      <c r="L309" s="15"/>
      <c r="M309" s="30"/>
      <c r="N309" s="27"/>
    </row>
    <row r="310" spans="1:19" x14ac:dyDescent="0.3">
      <c r="A310" s="5"/>
      <c r="B310" s="23"/>
      <c r="C310" s="90"/>
      <c r="D310" s="5"/>
      <c r="E310" s="5"/>
      <c r="F310" s="5"/>
      <c r="G310" s="5"/>
      <c r="H310" s="27"/>
      <c r="I310" s="15"/>
      <c r="J310" s="15"/>
      <c r="K310" s="15"/>
      <c r="L310" s="15"/>
      <c r="M310" s="15"/>
      <c r="N310" s="27"/>
    </row>
    <row r="311" spans="1:19" x14ac:dyDescent="0.3">
      <c r="A311" s="5"/>
      <c r="B311" s="5"/>
      <c r="C311" s="90"/>
      <c r="D311" s="5"/>
      <c r="E311" s="5"/>
      <c r="F311" s="5"/>
      <c r="G311" s="5"/>
      <c r="H311" s="27"/>
      <c r="I311" s="15"/>
      <c r="J311" s="15"/>
      <c r="K311" s="15"/>
      <c r="L311" s="32"/>
      <c r="M311" s="15"/>
      <c r="N311" s="27"/>
    </row>
    <row r="312" spans="1:19" x14ac:dyDescent="0.3">
      <c r="A312" s="5"/>
      <c r="B312" s="23"/>
      <c r="C312" s="90"/>
      <c r="D312" s="5"/>
      <c r="E312" s="5"/>
      <c r="F312" s="5"/>
      <c r="G312" s="5"/>
      <c r="H312" s="27"/>
      <c r="I312" s="97"/>
      <c r="J312" s="97"/>
      <c r="K312" s="97"/>
      <c r="L312" s="97"/>
      <c r="M312" s="15"/>
      <c r="N312" s="27"/>
    </row>
    <row r="313" spans="1:19" x14ac:dyDescent="0.3">
      <c r="A313" s="5"/>
      <c r="B313" s="21"/>
      <c r="C313" s="92"/>
      <c r="D313" s="5"/>
      <c r="E313" s="5"/>
      <c r="F313" s="5"/>
      <c r="G313" s="5"/>
      <c r="H313" s="27"/>
      <c r="I313" s="27"/>
      <c r="J313" s="27"/>
      <c r="K313" s="27"/>
      <c r="L313" s="110"/>
      <c r="M313" s="15"/>
      <c r="N313" s="27"/>
    </row>
    <row r="314" spans="1:19" x14ac:dyDescent="0.3">
      <c r="A314" s="5"/>
      <c r="B314" s="88"/>
      <c r="C314" s="21"/>
      <c r="D314" s="5"/>
      <c r="E314" s="5"/>
      <c r="F314" s="5"/>
      <c r="G314" s="5"/>
      <c r="H314" s="27"/>
      <c r="I314" s="27"/>
      <c r="J314" s="27"/>
      <c r="K314" s="27"/>
      <c r="L314" s="91"/>
      <c r="M314" s="30"/>
      <c r="N314" s="27"/>
    </row>
    <row r="315" spans="1:19" x14ac:dyDescent="0.3">
      <c r="A315" s="5"/>
      <c r="B315" s="21"/>
      <c r="C315" s="92"/>
      <c r="D315" s="5"/>
      <c r="E315" s="5"/>
      <c r="F315" s="5"/>
      <c r="G315" s="5"/>
      <c r="H315" s="27"/>
      <c r="I315" s="27"/>
      <c r="J315" s="27"/>
      <c r="K315" s="27"/>
      <c r="L315" s="122"/>
      <c r="M315" s="122"/>
      <c r="N315" s="27"/>
    </row>
    <row r="316" spans="1:19" x14ac:dyDescent="0.3">
      <c r="A316" s="5"/>
      <c r="B316" s="21"/>
      <c r="C316" s="92"/>
      <c r="D316" s="5"/>
      <c r="E316" s="5"/>
      <c r="F316" s="5"/>
      <c r="G316" s="5"/>
      <c r="H316" s="27"/>
      <c r="I316" s="15"/>
      <c r="J316" s="15"/>
      <c r="K316" s="15"/>
      <c r="L316" s="91"/>
      <c r="M316" s="91"/>
      <c r="N316" s="27"/>
    </row>
    <row r="317" spans="1:19" x14ac:dyDescent="0.3">
      <c r="A317" s="5"/>
      <c r="B317" s="5"/>
      <c r="C317" s="92"/>
      <c r="D317" s="5"/>
      <c r="E317" s="5"/>
      <c r="F317" s="5"/>
      <c r="G317" s="5"/>
      <c r="H317" s="27"/>
      <c r="I317" s="97"/>
      <c r="J317" s="97"/>
      <c r="K317" s="97"/>
      <c r="L317" s="5"/>
      <c r="N317" s="5"/>
    </row>
    <row r="318" spans="1:19" x14ac:dyDescent="0.3">
      <c r="A318" s="13"/>
      <c r="B318" s="21"/>
      <c r="C318" s="92"/>
      <c r="D318" s="5"/>
      <c r="E318" s="5"/>
      <c r="F318" s="5"/>
      <c r="G318" s="5"/>
      <c r="H318" s="27"/>
      <c r="I318" s="97"/>
      <c r="J318" s="97"/>
      <c r="K318" s="97"/>
      <c r="L318" s="100"/>
      <c r="M318" s="123"/>
      <c r="N318" s="27"/>
    </row>
    <row r="319" spans="1:19" x14ac:dyDescent="0.3">
      <c r="A319" s="5"/>
      <c r="B319" s="21"/>
      <c r="C319" s="92"/>
      <c r="D319" s="5"/>
      <c r="E319" s="5"/>
      <c r="F319" s="5"/>
      <c r="G319" s="5"/>
      <c r="H319" s="27"/>
      <c r="I319" s="27"/>
      <c r="J319" s="27"/>
      <c r="K319" s="27"/>
      <c r="L319" s="27"/>
      <c r="M319" s="91"/>
      <c r="N319" s="27"/>
    </row>
    <row r="320" spans="1:19" x14ac:dyDescent="0.3">
      <c r="A320" s="13"/>
      <c r="B320" s="5"/>
      <c r="C320" s="92"/>
      <c r="D320" s="5"/>
      <c r="E320" s="5"/>
      <c r="F320" s="6"/>
      <c r="G320" s="5"/>
      <c r="H320" s="27"/>
      <c r="I320" s="103"/>
      <c r="J320" s="103"/>
      <c r="K320" s="103"/>
      <c r="L320" s="103"/>
      <c r="M320" s="103"/>
      <c r="N320" s="27"/>
    </row>
    <row r="321" spans="1:14" x14ac:dyDescent="0.3">
      <c r="A321" s="13"/>
      <c r="B321" s="263" t="s">
        <v>242</v>
      </c>
      <c r="C321" s="5"/>
      <c r="D321" s="5"/>
      <c r="E321" s="5"/>
      <c r="F321" s="5"/>
      <c r="G321" s="5"/>
      <c r="H321" s="5"/>
      <c r="I321" s="5"/>
      <c r="J321" s="5"/>
      <c r="K321" s="5"/>
      <c r="L321" s="5"/>
      <c r="M321" s="5"/>
      <c r="N321" s="5"/>
    </row>
    <row r="322" spans="1:14" x14ac:dyDescent="0.3">
      <c r="A322" s="13"/>
      <c r="B322" s="17"/>
      <c r="C322" s="17"/>
      <c r="D322" s="17"/>
      <c r="E322" s="17"/>
      <c r="F322" s="17"/>
      <c r="G322" s="17"/>
      <c r="H322" s="17"/>
      <c r="I322" s="17"/>
      <c r="J322" s="17"/>
      <c r="K322" s="17"/>
      <c r="L322" s="17"/>
      <c r="M322" s="17"/>
      <c r="N322" s="17"/>
    </row>
    <row r="323" spans="1:14" x14ac:dyDescent="0.3">
      <c r="A323" s="13" t="s">
        <v>29</v>
      </c>
      <c r="B323" s="106" t="s">
        <v>288</v>
      </c>
      <c r="C323" s="107"/>
      <c r="D323" s="107"/>
      <c r="E323" s="107"/>
      <c r="F323" s="107"/>
      <c r="G323" s="107"/>
      <c r="H323" s="107"/>
      <c r="I323" s="107"/>
      <c r="J323" s="107"/>
      <c r="K323" s="107"/>
      <c r="L323" s="107"/>
      <c r="M323" s="107"/>
      <c r="N323" s="107"/>
    </row>
    <row r="324" spans="1:14" x14ac:dyDescent="0.3">
      <c r="A324" s="13"/>
      <c r="B324" s="5"/>
      <c r="C324" s="5"/>
      <c r="D324" s="5"/>
      <c r="E324" s="5"/>
      <c r="F324" s="5"/>
      <c r="G324" s="5"/>
      <c r="H324" s="5"/>
      <c r="I324" s="5"/>
      <c r="J324" s="5"/>
      <c r="K324" s="5"/>
      <c r="L324" s="5"/>
      <c r="M324" s="5"/>
      <c r="N324" s="5"/>
    </row>
    <row r="325" spans="1:14" x14ac:dyDescent="0.3">
      <c r="A325" s="13"/>
      <c r="B325" s="124"/>
      <c r="C325" s="5"/>
      <c r="D325" s="278"/>
      <c r="E325" s="279"/>
      <c r="F325" s="278"/>
      <c r="G325" s="278"/>
      <c r="H325" s="278"/>
      <c r="I325" s="280"/>
      <c r="J325" s="280"/>
      <c r="K325" s="280"/>
      <c r="L325" s="125"/>
      <c r="M325" s="125"/>
      <c r="N325" s="5"/>
    </row>
    <row r="326" spans="1:14" x14ac:dyDescent="0.3">
      <c r="A326" s="13"/>
      <c r="B326" s="11"/>
      <c r="C326" s="92"/>
      <c r="D326" s="5"/>
      <c r="E326" s="5"/>
      <c r="F326" s="5"/>
      <c r="G326" s="5"/>
      <c r="H326" s="5"/>
      <c r="I326" s="5"/>
      <c r="J326" s="5"/>
      <c r="K326" s="5"/>
      <c r="L326" s="5"/>
      <c r="M326" s="5"/>
      <c r="N326" s="5"/>
    </row>
    <row r="327" spans="1:14" x14ac:dyDescent="0.3">
      <c r="A327" s="5"/>
      <c r="B327" s="21"/>
      <c r="C327" s="92"/>
      <c r="D327" s="5"/>
      <c r="E327" s="5"/>
      <c r="F327" s="5"/>
      <c r="G327" s="5"/>
      <c r="H327" s="27"/>
      <c r="I327" s="32"/>
      <c r="J327" s="32"/>
      <c r="K327" s="32"/>
      <c r="L327" s="32"/>
      <c r="M327" s="32"/>
      <c r="N327" s="5"/>
    </row>
    <row r="328" spans="1:14" x14ac:dyDescent="0.3">
      <c r="A328" s="5"/>
      <c r="B328" s="21"/>
      <c r="C328" s="5"/>
      <c r="D328" s="21"/>
      <c r="E328" s="21"/>
      <c r="F328" s="6"/>
      <c r="G328" s="21"/>
      <c r="H328" s="93"/>
      <c r="I328" s="30"/>
      <c r="J328" s="30"/>
      <c r="K328" s="30"/>
      <c r="L328" s="103"/>
      <c r="M328" s="103"/>
      <c r="N328" s="5"/>
    </row>
    <row r="329" spans="1:14" x14ac:dyDescent="0.3">
      <c r="A329" s="13"/>
      <c r="B329" s="5"/>
      <c r="C329" s="90"/>
      <c r="D329" s="5"/>
      <c r="E329" s="5"/>
      <c r="F329" s="6"/>
      <c r="G329" s="5"/>
      <c r="H329" s="27"/>
      <c r="I329" s="32"/>
      <c r="J329" s="32"/>
      <c r="K329" s="32"/>
      <c r="L329" s="103"/>
      <c r="M329" s="103"/>
      <c r="N329" s="27"/>
    </row>
    <row r="330" spans="1:14" x14ac:dyDescent="0.3">
      <c r="A330" s="5"/>
      <c r="B330" s="5"/>
      <c r="C330" s="90"/>
      <c r="D330" s="5"/>
      <c r="E330" s="5"/>
      <c r="F330" s="6"/>
      <c r="G330" s="5"/>
      <c r="H330" s="27"/>
      <c r="I330" s="94"/>
      <c r="J330" s="94"/>
      <c r="K330" s="94"/>
      <c r="L330" s="103"/>
      <c r="M330" s="103"/>
      <c r="N330" s="27"/>
    </row>
    <row r="331" spans="1:14" x14ac:dyDescent="0.3">
      <c r="A331" s="5"/>
      <c r="B331" s="5"/>
      <c r="C331" s="90"/>
      <c r="D331" s="5"/>
      <c r="E331" s="5"/>
      <c r="F331" s="6"/>
      <c r="G331" s="5"/>
      <c r="H331" s="27"/>
      <c r="I331" s="32"/>
      <c r="J331" s="32"/>
      <c r="K331" s="32"/>
      <c r="L331" s="103"/>
      <c r="M331" s="103"/>
      <c r="N331" s="27"/>
    </row>
    <row r="332" spans="1:14" x14ac:dyDescent="0.3">
      <c r="A332" s="5"/>
      <c r="B332" s="5"/>
      <c r="C332" s="90"/>
      <c r="D332" s="5"/>
      <c r="E332" s="5"/>
      <c r="F332" s="5"/>
      <c r="G332" s="5"/>
      <c r="H332" s="27"/>
      <c r="I332" s="7"/>
      <c r="J332" s="7"/>
      <c r="K332" s="7"/>
      <c r="L332" s="7"/>
      <c r="M332" s="7"/>
      <c r="N332" s="27"/>
    </row>
    <row r="333" spans="1:14" x14ac:dyDescent="0.3">
      <c r="A333" s="13"/>
      <c r="B333" s="23"/>
      <c r="C333" s="88"/>
      <c r="D333" s="5"/>
      <c r="E333" s="5"/>
      <c r="F333" s="5"/>
      <c r="G333" s="5"/>
      <c r="H333" s="27"/>
      <c r="I333" s="15"/>
      <c r="J333" s="15"/>
      <c r="K333" s="15"/>
      <c r="L333" s="15"/>
      <c r="M333" s="15"/>
      <c r="N333" s="27"/>
    </row>
    <row r="334" spans="1:14" x14ac:dyDescent="0.3">
      <c r="A334" s="5"/>
      <c r="B334" s="23"/>
      <c r="C334" s="90"/>
      <c r="D334" s="5"/>
      <c r="E334" s="5"/>
      <c r="F334" s="5"/>
      <c r="G334" s="5"/>
      <c r="H334" s="27"/>
      <c r="I334" s="95"/>
      <c r="J334" s="95"/>
      <c r="K334" s="95"/>
      <c r="L334" s="95"/>
      <c r="M334" s="89"/>
      <c r="N334" s="27"/>
    </row>
    <row r="335" spans="1:14" x14ac:dyDescent="0.3">
      <c r="A335" s="5"/>
      <c r="B335" s="5"/>
      <c r="C335" s="88"/>
      <c r="D335" s="5"/>
      <c r="E335" s="5"/>
      <c r="F335" s="5"/>
      <c r="G335" s="5"/>
      <c r="H335" s="27"/>
      <c r="I335" s="89"/>
      <c r="J335" s="89"/>
      <c r="K335" s="89"/>
      <c r="L335" s="89"/>
      <c r="M335" s="89"/>
      <c r="N335" s="27"/>
    </row>
    <row r="336" spans="1:14" x14ac:dyDescent="0.3">
      <c r="A336" s="5"/>
      <c r="B336" s="5"/>
      <c r="C336" s="90"/>
      <c r="D336" s="5"/>
      <c r="E336" s="5"/>
      <c r="F336" s="5"/>
      <c r="G336" s="5"/>
      <c r="H336" s="27"/>
      <c r="I336" s="32"/>
      <c r="J336" s="32"/>
      <c r="K336" s="32"/>
      <c r="L336" s="32"/>
      <c r="M336" s="89"/>
      <c r="N336" s="27"/>
    </row>
    <row r="337" spans="1:14" x14ac:dyDescent="0.3">
      <c r="A337" s="5"/>
      <c r="B337" s="92"/>
      <c r="C337" s="5"/>
      <c r="D337" s="5"/>
      <c r="E337" s="5"/>
      <c r="F337" s="5"/>
      <c r="G337" s="5"/>
      <c r="H337" s="27"/>
      <c r="I337" s="89"/>
      <c r="J337" s="89"/>
      <c r="K337" s="89"/>
      <c r="L337" s="89"/>
      <c r="M337" s="89"/>
      <c r="N337" s="27"/>
    </row>
    <row r="338" spans="1:14" x14ac:dyDescent="0.3">
      <c r="A338" s="5"/>
      <c r="B338" s="5"/>
      <c r="C338" s="90"/>
      <c r="D338" s="5"/>
      <c r="E338" s="5"/>
      <c r="F338" s="5"/>
      <c r="G338" s="5"/>
      <c r="H338" s="5"/>
      <c r="I338" s="15"/>
      <c r="J338" s="15"/>
      <c r="K338" s="15"/>
      <c r="L338" s="15"/>
      <c r="M338" s="15"/>
      <c r="N338" s="27"/>
    </row>
    <row r="339" spans="1:14" x14ac:dyDescent="0.3">
      <c r="A339" s="5"/>
      <c r="B339" s="21"/>
      <c r="C339" s="90"/>
      <c r="D339" s="5"/>
      <c r="E339" s="5"/>
      <c r="F339" s="5"/>
      <c r="G339" s="5"/>
      <c r="H339" s="27"/>
      <c r="I339" s="15"/>
      <c r="J339" s="15"/>
      <c r="K339" s="15"/>
      <c r="L339" s="15"/>
      <c r="M339" s="15"/>
      <c r="N339" s="27"/>
    </row>
    <row r="340" spans="1:14" x14ac:dyDescent="0.3">
      <c r="A340" s="13"/>
      <c r="B340" s="23"/>
      <c r="C340" s="21"/>
      <c r="D340" s="5"/>
      <c r="E340" s="5"/>
      <c r="F340" s="5"/>
      <c r="G340" s="5"/>
      <c r="H340" s="27"/>
      <c r="I340" s="15"/>
      <c r="J340" s="15"/>
      <c r="K340" s="15"/>
      <c r="L340" s="15"/>
      <c r="M340" s="30"/>
      <c r="N340" s="27"/>
    </row>
    <row r="341" spans="1:14" x14ac:dyDescent="0.3">
      <c r="A341" s="5"/>
      <c r="B341" s="23"/>
      <c r="C341" s="90"/>
      <c r="D341" s="5"/>
      <c r="E341" s="5"/>
      <c r="F341" s="5"/>
      <c r="G341" s="5"/>
      <c r="H341" s="27"/>
      <c r="I341" s="15"/>
      <c r="J341" s="15"/>
      <c r="K341" s="15"/>
      <c r="L341" s="15"/>
      <c r="M341" s="15"/>
      <c r="N341" s="27"/>
    </row>
    <row r="342" spans="1:14" x14ac:dyDescent="0.3">
      <c r="A342" s="5"/>
      <c r="B342" s="5"/>
      <c r="C342" s="90"/>
      <c r="D342" s="5"/>
      <c r="E342" s="5"/>
      <c r="F342" s="5"/>
      <c r="G342" s="5"/>
      <c r="H342" s="27"/>
      <c r="I342" s="15"/>
      <c r="J342" s="15"/>
      <c r="K342" s="15"/>
      <c r="L342" s="32"/>
      <c r="M342" s="15"/>
      <c r="N342" s="27"/>
    </row>
    <row r="343" spans="1:14" x14ac:dyDescent="0.3">
      <c r="A343" s="5"/>
      <c r="B343" s="23"/>
      <c r="C343" s="90"/>
      <c r="D343" s="5"/>
      <c r="E343" s="5"/>
      <c r="F343" s="5"/>
      <c r="G343" s="5"/>
      <c r="H343" s="27"/>
      <c r="I343" s="97"/>
      <c r="J343" s="97"/>
      <c r="K343" s="97"/>
      <c r="L343" s="97"/>
      <c r="M343" s="15"/>
      <c r="N343" s="27"/>
    </row>
    <row r="344" spans="1:14" x14ac:dyDescent="0.3">
      <c r="A344" s="5"/>
      <c r="B344" s="21"/>
      <c r="C344" s="92"/>
      <c r="D344" s="5"/>
      <c r="E344" s="5"/>
      <c r="F344" s="5"/>
      <c r="G344" s="5"/>
      <c r="H344" s="27"/>
      <c r="I344" s="27"/>
      <c r="J344" s="27"/>
      <c r="K344" s="27"/>
      <c r="L344" s="110"/>
      <c r="M344" s="15"/>
      <c r="N344" s="27"/>
    </row>
    <row r="345" spans="1:14" x14ac:dyDescent="0.3">
      <c r="A345" s="5"/>
      <c r="B345" s="88"/>
      <c r="C345" s="21"/>
      <c r="D345" s="5"/>
      <c r="E345" s="5"/>
      <c r="F345" s="5"/>
      <c r="G345" s="5"/>
      <c r="H345" s="27"/>
      <c r="I345" s="27"/>
      <c r="J345" s="27"/>
      <c r="K345" s="27"/>
      <c r="L345" s="91"/>
      <c r="M345" s="30"/>
      <c r="N345" s="27"/>
    </row>
    <row r="346" spans="1:14" x14ac:dyDescent="0.3">
      <c r="A346" s="5"/>
      <c r="B346" s="21"/>
      <c r="C346" s="92"/>
      <c r="D346" s="5"/>
      <c r="E346" s="5"/>
      <c r="F346" s="5"/>
      <c r="G346" s="5"/>
      <c r="H346" s="27"/>
      <c r="I346" s="27"/>
      <c r="J346" s="27"/>
      <c r="K346" s="27"/>
      <c r="L346" s="122"/>
      <c r="M346" s="122"/>
      <c r="N346" s="27"/>
    </row>
    <row r="347" spans="1:14" x14ac:dyDescent="0.3">
      <c r="A347" s="5"/>
      <c r="B347" s="21"/>
      <c r="C347" s="92"/>
      <c r="D347" s="5"/>
      <c r="E347" s="5"/>
      <c r="F347" s="5"/>
      <c r="G347" s="5"/>
      <c r="H347" s="27"/>
      <c r="I347" s="15"/>
      <c r="J347" s="15"/>
      <c r="K347" s="15"/>
      <c r="L347" s="91"/>
      <c r="M347" s="91"/>
      <c r="N347" s="27"/>
    </row>
    <row r="348" spans="1:14" x14ac:dyDescent="0.3">
      <c r="A348" s="5"/>
      <c r="B348" s="5"/>
      <c r="C348" s="92"/>
      <c r="D348" s="5"/>
      <c r="E348" s="5"/>
      <c r="F348" s="5"/>
      <c r="G348" s="5"/>
      <c r="H348" s="27"/>
      <c r="I348" s="97"/>
      <c r="J348" s="97"/>
      <c r="K348" s="97"/>
      <c r="L348" s="5"/>
      <c r="N348" s="5"/>
    </row>
    <row r="349" spans="1:14" x14ac:dyDescent="0.3">
      <c r="A349" s="13"/>
      <c r="B349" s="21"/>
      <c r="C349" s="92"/>
      <c r="D349" s="5"/>
      <c r="E349" s="5"/>
      <c r="F349" s="5"/>
      <c r="G349" s="5"/>
      <c r="H349" s="27"/>
      <c r="I349" s="97"/>
      <c r="J349" s="97"/>
      <c r="K349" s="97"/>
      <c r="L349" s="100"/>
      <c r="M349" s="123"/>
      <c r="N349" s="27"/>
    </row>
    <row r="350" spans="1:14" x14ac:dyDescent="0.3">
      <c r="A350" s="5"/>
      <c r="B350" s="21"/>
      <c r="C350" s="92"/>
      <c r="D350" s="5"/>
      <c r="E350" s="5"/>
      <c r="F350" s="5"/>
      <c r="G350" s="5"/>
      <c r="H350" s="27"/>
      <c r="I350" s="27"/>
      <c r="J350" s="27"/>
      <c r="K350" s="27"/>
      <c r="L350" s="27"/>
      <c r="M350" s="91"/>
      <c r="N350" s="27"/>
    </row>
    <row r="351" spans="1:14" x14ac:dyDescent="0.3">
      <c r="A351" s="13"/>
      <c r="B351" s="5"/>
      <c r="C351" s="92"/>
      <c r="D351" s="5"/>
      <c r="E351" s="5"/>
      <c r="F351" s="6"/>
      <c r="G351" s="5"/>
      <c r="H351" s="27"/>
      <c r="I351" s="103"/>
      <c r="J351" s="103"/>
      <c r="K351" s="103"/>
      <c r="L351" s="103"/>
      <c r="M351" s="103"/>
      <c r="N351" s="27"/>
    </row>
    <row r="352" spans="1:14" x14ac:dyDescent="0.3">
      <c r="A352" s="13"/>
      <c r="B352" s="277" t="s">
        <v>299</v>
      </c>
      <c r="C352" s="5"/>
      <c r="D352" s="5"/>
      <c r="E352" s="5"/>
      <c r="F352" s="5"/>
      <c r="G352" s="5"/>
      <c r="H352" s="5"/>
      <c r="I352" s="5"/>
      <c r="J352" s="5"/>
      <c r="K352" s="5"/>
      <c r="L352" s="5"/>
      <c r="M352" s="5"/>
      <c r="N352" s="5"/>
    </row>
    <row r="353" spans="1:14" x14ac:dyDescent="0.3">
      <c r="A353" s="194" t="s">
        <v>29</v>
      </c>
      <c r="B353" s="172"/>
      <c r="C353" s="172"/>
      <c r="D353" s="172"/>
      <c r="E353" s="172"/>
      <c r="F353" s="172"/>
      <c r="G353" s="172"/>
      <c r="H353" s="172"/>
      <c r="I353" s="172"/>
      <c r="J353" s="172"/>
      <c r="K353" s="172"/>
      <c r="L353" s="172"/>
      <c r="M353" s="172"/>
      <c r="N353" s="172"/>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B64D-BC7A-4018-BFEA-776D3F653A59}">
  <sheetPr>
    <outlinePr showOutlineSymbols="0"/>
    <pageSetUpPr autoPageBreaks="0"/>
  </sheetPr>
  <dimension ref="A1:U89"/>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5" width="9.140625" style="194"/>
    <col min="16" max="16" width="4.7109375" style="221" customWidth="1"/>
    <col min="17" max="16384" width="9.140625" style="194"/>
  </cols>
  <sheetData>
    <row r="1" spans="1:16" ht="6" customHeight="1" x14ac:dyDescent="0.3">
      <c r="A1" s="13"/>
      <c r="B1" s="13"/>
      <c r="C1" s="13"/>
      <c r="D1" s="13"/>
      <c r="E1" s="13"/>
      <c r="F1" s="13"/>
      <c r="G1" s="13"/>
      <c r="H1" s="13"/>
      <c r="I1" s="13"/>
      <c r="J1" s="13"/>
      <c r="K1" s="13"/>
      <c r="L1" s="13"/>
      <c r="M1" s="13"/>
      <c r="N1" s="13"/>
    </row>
    <row r="2" spans="1:16" ht="39.950000000000003" customHeight="1" x14ac:dyDescent="0.3">
      <c r="A2" s="13"/>
      <c r="B2" s="104"/>
      <c r="C2" s="104"/>
      <c r="D2" s="241" t="s">
        <v>28</v>
      </c>
      <c r="E2" s="104"/>
      <c r="F2" s="104"/>
      <c r="G2" s="104"/>
      <c r="H2" s="104"/>
      <c r="I2" s="105"/>
      <c r="J2" s="104"/>
      <c r="K2" s="104"/>
      <c r="L2" s="104"/>
      <c r="M2" s="104"/>
      <c r="N2" s="104"/>
    </row>
    <row r="3" spans="1:16" x14ac:dyDescent="0.3">
      <c r="A3" s="13"/>
      <c r="B3" s="13"/>
      <c r="C3" s="13"/>
      <c r="D3" s="13"/>
      <c r="E3" s="13"/>
      <c r="F3" s="13"/>
      <c r="G3" s="13"/>
      <c r="H3" s="13"/>
      <c r="I3" s="13"/>
      <c r="J3" s="13"/>
      <c r="K3" s="13"/>
      <c r="L3" s="13"/>
      <c r="M3" s="13"/>
      <c r="N3" s="13"/>
    </row>
    <row r="4" spans="1:16" x14ac:dyDescent="0.3">
      <c r="A4" s="13" t="s">
        <v>29</v>
      </c>
      <c r="B4" s="106" t="s">
        <v>243</v>
      </c>
      <c r="C4" s="107"/>
      <c r="D4" s="107"/>
      <c r="E4" s="107"/>
      <c r="F4" s="107"/>
      <c r="G4" s="107"/>
      <c r="H4" s="107"/>
      <c r="I4" s="107"/>
      <c r="J4" s="107"/>
      <c r="K4" s="107"/>
      <c r="L4" s="107"/>
      <c r="M4" s="107"/>
      <c r="N4" s="107"/>
    </row>
    <row r="5" spans="1:16" x14ac:dyDescent="0.3">
      <c r="A5" s="13"/>
      <c r="B5" s="13"/>
      <c r="C5" s="13"/>
      <c r="D5" s="13"/>
      <c r="E5" s="13"/>
      <c r="F5" s="13"/>
      <c r="G5" s="13"/>
      <c r="H5" s="13"/>
      <c r="I5" s="13"/>
      <c r="J5" s="13"/>
      <c r="K5" s="13"/>
      <c r="L5" s="13"/>
      <c r="M5" s="13"/>
      <c r="N5" s="13"/>
    </row>
    <row r="6" spans="1:16" ht="18.75" thickBot="1" x14ac:dyDescent="0.35">
      <c r="A6" s="13"/>
      <c r="B6" s="240" t="s">
        <v>20</v>
      </c>
      <c r="C6" s="13"/>
      <c r="D6" s="13"/>
      <c r="E6" s="13"/>
      <c r="F6" s="13"/>
      <c r="G6" s="13"/>
      <c r="H6" s="109"/>
      <c r="I6" s="274">
        <v>2021</v>
      </c>
      <c r="J6" s="274">
        <f>I6+1</f>
        <v>2022</v>
      </c>
      <c r="K6" s="274">
        <f t="shared" ref="K6:M6" si="0">J6+1</f>
        <v>2023</v>
      </c>
      <c r="L6" s="274">
        <f t="shared" si="0"/>
        <v>2024</v>
      </c>
      <c r="M6" s="274">
        <f t="shared" si="0"/>
        <v>2025</v>
      </c>
      <c r="N6" s="13"/>
    </row>
    <row r="7" spans="1:16" x14ac:dyDescent="0.3">
      <c r="A7" s="13"/>
      <c r="B7" s="11"/>
      <c r="C7" s="12"/>
      <c r="D7" s="13"/>
      <c r="E7" s="13"/>
      <c r="F7" s="13"/>
      <c r="G7" s="13"/>
      <c r="H7" s="13"/>
      <c r="I7" s="13"/>
      <c r="J7" s="13"/>
      <c r="K7" s="13"/>
      <c r="L7" s="13"/>
      <c r="M7" s="13"/>
      <c r="N7" s="13"/>
    </row>
    <row r="8" spans="1:16" s="133" customFormat="1" x14ac:dyDescent="0.3">
      <c r="A8" s="5"/>
      <c r="B8" s="21" t="s">
        <v>244</v>
      </c>
      <c r="C8" s="92"/>
      <c r="D8" s="5"/>
      <c r="E8" s="5"/>
      <c r="F8" s="286"/>
      <c r="G8" s="5"/>
      <c r="H8" s="27"/>
      <c r="I8" s="32"/>
      <c r="J8" s="32"/>
      <c r="K8" s="32"/>
      <c r="L8" s="32"/>
      <c r="M8" s="32"/>
      <c r="N8" s="5"/>
      <c r="P8" s="222"/>
    </row>
    <row r="9" spans="1:16" s="133" customFormat="1" x14ac:dyDescent="0.3">
      <c r="A9" s="5"/>
      <c r="B9" s="21"/>
      <c r="C9" s="5" t="s">
        <v>8</v>
      </c>
      <c r="D9" s="21"/>
      <c r="E9" s="21"/>
      <c r="F9" s="285" t="s">
        <v>251</v>
      </c>
      <c r="G9" s="21"/>
      <c r="H9" s="93"/>
      <c r="I9" s="30"/>
      <c r="J9" s="30"/>
      <c r="K9" s="30"/>
      <c r="L9" s="30"/>
      <c r="M9" s="32">
        <f>'Operating Data'!M44</f>
        <v>168823</v>
      </c>
      <c r="N9" s="5"/>
      <c r="P9" s="222"/>
    </row>
    <row r="10" spans="1:16" s="133" customFormat="1" x14ac:dyDescent="0.3">
      <c r="A10" s="5"/>
      <c r="B10" s="21"/>
      <c r="C10" s="114" t="s">
        <v>246</v>
      </c>
      <c r="D10" s="21"/>
      <c r="E10" s="21"/>
      <c r="F10" s="288"/>
      <c r="G10" s="21"/>
      <c r="H10" s="93"/>
      <c r="I10" s="30"/>
      <c r="J10" s="30"/>
      <c r="K10" s="30"/>
      <c r="L10" s="30"/>
      <c r="M10" s="116">
        <v>-8.7999999999999995E-2</v>
      </c>
      <c r="N10" s="5"/>
      <c r="P10" s="222"/>
    </row>
    <row r="11" spans="1:16" x14ac:dyDescent="0.3">
      <c r="A11" s="13"/>
      <c r="B11" s="5"/>
      <c r="C11" s="90" t="s">
        <v>245</v>
      </c>
      <c r="D11" s="5"/>
      <c r="E11" s="5"/>
      <c r="F11" s="285" t="s">
        <v>251</v>
      </c>
      <c r="G11" s="5"/>
      <c r="H11" s="27"/>
      <c r="I11" s="32"/>
      <c r="J11" s="32"/>
      <c r="K11" s="32"/>
      <c r="L11" s="32"/>
      <c r="M11" s="15">
        <v>442059</v>
      </c>
      <c r="N11" s="27"/>
    </row>
    <row r="12" spans="1:16" s="133" customFormat="1" x14ac:dyDescent="0.3">
      <c r="A12" s="5"/>
      <c r="B12" s="5"/>
      <c r="C12" s="114" t="s">
        <v>246</v>
      </c>
      <c r="D12" s="5"/>
      <c r="E12" s="5"/>
      <c r="F12" s="286"/>
      <c r="G12" s="5"/>
      <c r="H12" s="27"/>
      <c r="I12" s="94"/>
      <c r="J12" s="94"/>
      <c r="K12" s="94"/>
      <c r="L12" s="94"/>
      <c r="M12" s="116">
        <v>3.5999999999999997E-2</v>
      </c>
      <c r="N12" s="27"/>
      <c r="P12" s="222"/>
    </row>
    <row r="13" spans="1:16" s="133" customFormat="1" x14ac:dyDescent="0.3">
      <c r="A13" s="5"/>
      <c r="B13" s="5"/>
      <c r="C13" s="88"/>
      <c r="D13" s="5"/>
      <c r="E13" s="5"/>
      <c r="F13" s="286"/>
      <c r="G13" s="5"/>
      <c r="H13" s="27"/>
      <c r="I13" s="32"/>
      <c r="J13" s="32"/>
      <c r="K13" s="32"/>
      <c r="L13" s="32"/>
      <c r="M13" s="32"/>
      <c r="N13" s="27"/>
      <c r="P13" s="222"/>
    </row>
    <row r="14" spans="1:16" s="133" customFormat="1" x14ac:dyDescent="0.3">
      <c r="A14" s="5"/>
      <c r="B14" s="21" t="s">
        <v>247</v>
      </c>
      <c r="C14" s="87"/>
      <c r="D14" s="5"/>
      <c r="E14" s="5"/>
      <c r="F14" s="286"/>
      <c r="G14" s="5"/>
      <c r="H14" s="27"/>
      <c r="I14" s="7"/>
      <c r="J14" s="7"/>
      <c r="K14" s="7"/>
      <c r="L14" s="7"/>
      <c r="M14" s="7"/>
      <c r="N14" s="27"/>
      <c r="P14" s="222"/>
    </row>
    <row r="15" spans="1:16" x14ac:dyDescent="0.3">
      <c r="A15" s="13"/>
      <c r="B15" s="23"/>
      <c r="C15" s="5" t="s">
        <v>248</v>
      </c>
      <c r="D15" s="5"/>
      <c r="E15" s="5"/>
      <c r="F15" s="286"/>
      <c r="G15" s="5"/>
      <c r="H15" s="27"/>
      <c r="I15" s="15"/>
      <c r="J15" s="15"/>
      <c r="K15" s="15"/>
      <c r="L15" s="116">
        <v>7.9000000000000001E-2</v>
      </c>
      <c r="M15" s="116">
        <v>3.6999999999999998E-2</v>
      </c>
      <c r="N15" s="27"/>
    </row>
    <row r="16" spans="1:16" s="133" customFormat="1" x14ac:dyDescent="0.3">
      <c r="A16" s="5"/>
      <c r="B16" s="23"/>
      <c r="C16" s="90" t="s">
        <v>253</v>
      </c>
      <c r="D16" s="5"/>
      <c r="E16" s="5"/>
      <c r="F16" s="286"/>
      <c r="G16" s="5"/>
      <c r="H16" s="27"/>
      <c r="I16" s="95"/>
      <c r="J16" s="95"/>
      <c r="K16" s="95"/>
      <c r="L16" s="116">
        <v>6.3E-2</v>
      </c>
      <c r="M16" s="116">
        <v>5.2999999999999999E-2</v>
      </c>
      <c r="N16" s="27"/>
      <c r="P16" s="222"/>
    </row>
    <row r="17" spans="1:21" s="133" customFormat="1" x14ac:dyDescent="0.3">
      <c r="A17" s="5"/>
      <c r="B17" s="5"/>
      <c r="C17" s="88"/>
      <c r="D17" s="5"/>
      <c r="E17" s="5"/>
      <c r="F17" s="286"/>
      <c r="G17" s="5"/>
      <c r="H17" s="27"/>
      <c r="I17" s="89"/>
      <c r="J17" s="89"/>
      <c r="K17" s="89"/>
      <c r="L17" s="89"/>
      <c r="M17" s="116"/>
      <c r="N17" s="27"/>
      <c r="P17" s="222"/>
    </row>
    <row r="18" spans="1:21" s="133" customFormat="1" x14ac:dyDescent="0.3">
      <c r="A18" s="5"/>
      <c r="B18" s="21" t="s">
        <v>8</v>
      </c>
      <c r="C18" s="90"/>
      <c r="D18" s="5"/>
      <c r="E18" s="5"/>
      <c r="F18" s="5"/>
      <c r="G18" s="5"/>
      <c r="H18" s="27"/>
      <c r="I18" s="32"/>
      <c r="J18" s="32"/>
      <c r="K18" s="32"/>
      <c r="L18" s="32"/>
      <c r="M18" s="116"/>
      <c r="N18" s="27"/>
      <c r="P18" s="222"/>
    </row>
    <row r="19" spans="1:21" s="133" customFormat="1" x14ac:dyDescent="0.3">
      <c r="A19" s="5"/>
      <c r="B19" s="86"/>
      <c r="C19" s="5" t="s">
        <v>249</v>
      </c>
      <c r="D19" s="5"/>
      <c r="E19" s="5"/>
      <c r="F19" s="5"/>
      <c r="G19" s="5"/>
      <c r="H19" s="27"/>
      <c r="I19" s="89"/>
      <c r="J19" s="89"/>
      <c r="K19" s="89"/>
      <c r="L19" s="89"/>
      <c r="M19" s="116">
        <v>-9.1999999999999998E-2</v>
      </c>
      <c r="N19" s="27"/>
      <c r="P19" s="222"/>
    </row>
    <row r="20" spans="1:21" s="133" customFormat="1" x14ac:dyDescent="0.3">
      <c r="A20" s="5"/>
      <c r="B20" s="5"/>
      <c r="C20" s="5" t="s">
        <v>250</v>
      </c>
      <c r="D20" s="5"/>
      <c r="E20" s="5"/>
      <c r="F20" s="5"/>
      <c r="G20" s="5"/>
      <c r="H20" s="5"/>
      <c r="I20" s="15"/>
      <c r="J20" s="15"/>
      <c r="K20" s="15"/>
      <c r="L20" s="15"/>
      <c r="M20" s="116">
        <v>-0.192</v>
      </c>
      <c r="N20" s="27"/>
      <c r="P20" s="222"/>
    </row>
    <row r="21" spans="1:21" s="133" customFormat="1" x14ac:dyDescent="0.3">
      <c r="A21" s="5"/>
      <c r="B21" s="5"/>
      <c r="C21" s="90"/>
      <c r="D21" s="5"/>
      <c r="E21" s="5"/>
      <c r="F21" s="5"/>
      <c r="G21" s="5"/>
      <c r="H21" s="27"/>
      <c r="I21" s="15"/>
      <c r="J21" s="15"/>
      <c r="K21" s="15"/>
      <c r="L21" s="15"/>
      <c r="M21" s="116"/>
      <c r="N21" s="27"/>
      <c r="P21" s="222"/>
    </row>
    <row r="22" spans="1:21" x14ac:dyDescent="0.3">
      <c r="A22" s="13"/>
      <c r="B22" s="88" t="s">
        <v>245</v>
      </c>
      <c r="C22" s="90"/>
      <c r="D22" s="5"/>
      <c r="E22" s="5"/>
      <c r="F22" s="5"/>
      <c r="G22" s="5"/>
      <c r="H22" s="27"/>
      <c r="I22" s="15"/>
      <c r="J22" s="15"/>
      <c r="K22" s="15"/>
      <c r="L22" s="15"/>
      <c r="M22" s="116"/>
      <c r="N22" s="27"/>
      <c r="R22" s="258"/>
      <c r="S22" s="258"/>
      <c r="T22" s="258"/>
      <c r="U22" s="258"/>
    </row>
    <row r="23" spans="1:21" s="133" customFormat="1" x14ac:dyDescent="0.3">
      <c r="A23" s="5"/>
      <c r="B23" s="86"/>
      <c r="C23" s="5" t="s">
        <v>249</v>
      </c>
      <c r="D23" s="5"/>
      <c r="E23" s="5"/>
      <c r="F23" s="5"/>
      <c r="G23" s="5"/>
      <c r="H23" s="27"/>
      <c r="I23" s="15"/>
      <c r="J23" s="15"/>
      <c r="K23" s="15"/>
      <c r="L23" s="15"/>
      <c r="M23" s="116">
        <v>5.0000000000000001E-3</v>
      </c>
      <c r="N23" s="27"/>
      <c r="P23" s="222"/>
      <c r="R23" s="258"/>
      <c r="S23" s="258"/>
      <c r="T23" s="258"/>
      <c r="U23" s="258"/>
    </row>
    <row r="24" spans="1:21" s="133" customFormat="1" x14ac:dyDescent="0.3">
      <c r="A24" s="5"/>
      <c r="B24" s="5"/>
      <c r="C24" s="5" t="s">
        <v>250</v>
      </c>
      <c r="D24" s="5"/>
      <c r="E24" s="5"/>
      <c r="F24" s="5"/>
      <c r="G24" s="5"/>
      <c r="H24" s="27"/>
      <c r="I24" s="15"/>
      <c r="J24" s="15"/>
      <c r="K24" s="15"/>
      <c r="L24" s="32"/>
      <c r="M24" s="116">
        <v>-0.125</v>
      </c>
      <c r="N24" s="27"/>
      <c r="P24" s="222"/>
      <c r="R24" s="258"/>
      <c r="S24" s="258"/>
      <c r="T24" s="258"/>
      <c r="U24" s="258"/>
    </row>
    <row r="25" spans="1:21" s="133" customFormat="1" x14ac:dyDescent="0.3">
      <c r="A25" s="5"/>
      <c r="B25" s="23"/>
      <c r="C25" s="92"/>
      <c r="D25" s="5"/>
      <c r="E25" s="5"/>
      <c r="F25" s="5"/>
      <c r="G25" s="5"/>
      <c r="H25" s="27"/>
      <c r="I25" s="97"/>
      <c r="J25" s="97"/>
      <c r="K25" s="97"/>
      <c r="L25" s="97"/>
      <c r="M25" s="116"/>
      <c r="N25" s="27"/>
      <c r="P25" s="222"/>
      <c r="R25" s="258"/>
      <c r="S25" s="258"/>
      <c r="T25" s="258"/>
      <c r="U25" s="258"/>
    </row>
    <row r="26" spans="1:21" s="133" customFormat="1" x14ac:dyDescent="0.3">
      <c r="A26" s="5"/>
      <c r="B26" s="21"/>
      <c r="C26" s="92"/>
      <c r="D26" s="5"/>
      <c r="E26" s="5"/>
      <c r="F26" s="5"/>
      <c r="G26" s="5"/>
      <c r="H26" s="27"/>
      <c r="I26" s="27"/>
      <c r="J26" s="27"/>
      <c r="K26" s="27"/>
      <c r="L26" s="110"/>
      <c r="M26" s="116"/>
      <c r="N26" s="27"/>
      <c r="P26" s="222"/>
      <c r="R26" s="258"/>
      <c r="S26" s="258"/>
      <c r="T26" s="258"/>
      <c r="U26" s="258"/>
    </row>
    <row r="27" spans="1:21" x14ac:dyDescent="0.3">
      <c r="A27" s="13"/>
      <c r="B27" s="5"/>
      <c r="C27" s="92"/>
      <c r="D27" s="5"/>
      <c r="E27" s="5"/>
      <c r="F27" s="6"/>
      <c r="G27" s="5"/>
      <c r="H27" s="27"/>
      <c r="I27" s="103"/>
      <c r="J27" s="103"/>
      <c r="K27" s="103"/>
      <c r="L27" s="103"/>
      <c r="M27" s="103"/>
      <c r="N27" s="27"/>
    </row>
    <row r="28" spans="1:21" x14ac:dyDescent="0.3">
      <c r="A28" s="13"/>
      <c r="B28" s="5"/>
      <c r="C28" s="13"/>
      <c r="D28" s="13"/>
      <c r="E28" s="13"/>
      <c r="F28" s="13"/>
      <c r="G28" s="13"/>
      <c r="H28" s="13"/>
      <c r="I28" s="13"/>
      <c r="J28" s="13"/>
      <c r="K28" s="13"/>
      <c r="L28" s="13"/>
      <c r="M28" s="13"/>
      <c r="N28" s="5"/>
    </row>
    <row r="29" spans="1:21" x14ac:dyDescent="0.3">
      <c r="A29" s="5"/>
      <c r="B29" s="17"/>
      <c r="C29" s="17"/>
      <c r="D29" s="17"/>
      <c r="E29" s="17"/>
      <c r="F29" s="17"/>
      <c r="G29" s="17"/>
      <c r="H29" s="17"/>
      <c r="I29" s="17"/>
      <c r="J29" s="17"/>
      <c r="K29" s="17"/>
      <c r="L29" s="17"/>
      <c r="M29" s="17"/>
      <c r="N29" s="17"/>
    </row>
    <row r="30" spans="1:21" x14ac:dyDescent="0.3">
      <c r="A30" s="5" t="s">
        <v>29</v>
      </c>
      <c r="B30" s="106" t="s">
        <v>289</v>
      </c>
      <c r="C30" s="107"/>
      <c r="D30" s="107"/>
      <c r="E30" s="107"/>
      <c r="F30" s="107"/>
      <c r="G30" s="107"/>
      <c r="H30" s="107"/>
      <c r="I30" s="107"/>
      <c r="J30" s="107"/>
      <c r="K30" s="107"/>
      <c r="L30" s="107"/>
      <c r="M30" s="107"/>
      <c r="N30" s="107"/>
    </row>
    <row r="31" spans="1:21" x14ac:dyDescent="0.3">
      <c r="A31" s="5"/>
      <c r="B31" s="5"/>
      <c r="C31" s="5"/>
      <c r="D31" s="5"/>
      <c r="E31" s="5"/>
      <c r="F31" s="5"/>
      <c r="G31" s="5"/>
      <c r="H31" s="5"/>
      <c r="I31" s="5"/>
      <c r="J31" s="5"/>
      <c r="K31" s="5"/>
      <c r="L31" s="5"/>
      <c r="M31" s="5"/>
      <c r="N31" s="5"/>
    </row>
    <row r="32" spans="1:21" x14ac:dyDescent="0.3">
      <c r="A32" s="5"/>
      <c r="B32" s="5"/>
      <c r="C32" s="5"/>
      <c r="D32" s="5"/>
      <c r="E32" s="5"/>
      <c r="F32" s="5"/>
      <c r="G32" s="5"/>
      <c r="H32" s="5"/>
      <c r="I32" s="5"/>
      <c r="J32" s="5"/>
      <c r="K32" s="5"/>
      <c r="L32" s="5"/>
      <c r="M32" s="5"/>
      <c r="N32" s="5"/>
    </row>
    <row r="33" spans="1:14" x14ac:dyDescent="0.3">
      <c r="A33" s="5"/>
      <c r="B33" s="5"/>
      <c r="C33" s="5"/>
      <c r="D33" s="5"/>
      <c r="E33" s="5"/>
      <c r="F33" s="5"/>
      <c r="G33" s="5"/>
      <c r="H33" s="5"/>
      <c r="I33" s="5"/>
      <c r="J33" s="5"/>
      <c r="K33" s="5"/>
      <c r="L33" s="5"/>
      <c r="M33" s="5"/>
      <c r="N33" s="5"/>
    </row>
    <row r="34" spans="1:14" x14ac:dyDescent="0.3">
      <c r="A34" s="5"/>
      <c r="B34" s="5"/>
      <c r="C34" s="5"/>
      <c r="D34" s="5"/>
      <c r="E34" s="5"/>
      <c r="F34" s="5"/>
      <c r="G34" s="5"/>
      <c r="H34" s="5"/>
      <c r="I34" s="5"/>
      <c r="J34" s="5"/>
      <c r="K34" s="5"/>
      <c r="L34" s="5"/>
      <c r="M34" s="5"/>
      <c r="N34" s="5"/>
    </row>
    <row r="35" spans="1:14" x14ac:dyDescent="0.3">
      <c r="A35" s="5"/>
      <c r="B35" s="5"/>
      <c r="C35" s="5"/>
      <c r="D35" s="5"/>
      <c r="E35" s="5"/>
      <c r="F35" s="5"/>
      <c r="G35" s="5"/>
      <c r="H35" s="5"/>
      <c r="I35" s="5"/>
      <c r="J35" s="5"/>
      <c r="K35" s="5"/>
      <c r="L35" s="5"/>
      <c r="M35" s="5"/>
      <c r="N35" s="5"/>
    </row>
    <row r="36" spans="1:14" x14ac:dyDescent="0.3">
      <c r="A36" s="5"/>
      <c r="B36" s="5"/>
      <c r="C36" s="5"/>
      <c r="D36" s="5"/>
      <c r="E36" s="5"/>
      <c r="F36" s="5"/>
      <c r="G36" s="5"/>
      <c r="H36" s="5"/>
      <c r="I36" s="5"/>
      <c r="J36" s="5"/>
      <c r="K36" s="5"/>
      <c r="L36" s="5"/>
      <c r="M36" s="5"/>
      <c r="N36" s="5"/>
    </row>
    <row r="37" spans="1:14" x14ac:dyDescent="0.3">
      <c r="A37" s="5"/>
      <c r="B37" s="5"/>
      <c r="C37" s="5"/>
      <c r="D37" s="5"/>
      <c r="E37" s="5"/>
      <c r="F37" s="5"/>
      <c r="G37" s="5"/>
      <c r="H37" s="5"/>
      <c r="I37" s="5"/>
      <c r="J37" s="5"/>
      <c r="K37" s="5"/>
      <c r="L37" s="5"/>
      <c r="M37" s="5"/>
      <c r="N37" s="5"/>
    </row>
    <row r="38" spans="1:14" x14ac:dyDescent="0.3">
      <c r="A38" s="13"/>
      <c r="B38" s="13"/>
      <c r="C38" s="13"/>
      <c r="D38" s="5"/>
      <c r="E38" s="5"/>
      <c r="F38" s="5"/>
      <c r="G38" s="5"/>
      <c r="H38" s="5"/>
      <c r="I38" s="5"/>
      <c r="J38" s="5"/>
      <c r="K38" s="5"/>
      <c r="L38" s="5"/>
      <c r="M38" s="13"/>
      <c r="N38" s="13"/>
    </row>
    <row r="39" spans="1:14" x14ac:dyDescent="0.3">
      <c r="A39" s="13"/>
      <c r="B39" s="13"/>
      <c r="C39" s="13"/>
      <c r="D39" s="5"/>
      <c r="E39" s="5"/>
      <c r="F39" s="5"/>
      <c r="G39" s="5"/>
      <c r="H39" s="5"/>
      <c r="I39" s="5"/>
      <c r="J39" s="5"/>
      <c r="K39" s="5"/>
      <c r="L39" s="5"/>
      <c r="M39" s="13"/>
      <c r="N39" s="13"/>
    </row>
    <row r="40" spans="1:14" x14ac:dyDescent="0.3">
      <c r="A40" s="13"/>
      <c r="B40" s="13"/>
      <c r="C40" s="13"/>
      <c r="D40" s="5"/>
      <c r="E40" s="5"/>
      <c r="F40" s="5"/>
      <c r="G40" s="5"/>
      <c r="H40" s="5"/>
      <c r="I40" s="5"/>
      <c r="J40" s="5"/>
      <c r="K40" s="5"/>
      <c r="L40" s="5"/>
      <c r="M40" s="13"/>
      <c r="N40" s="13"/>
    </row>
    <row r="41" spans="1:14" x14ac:dyDescent="0.3">
      <c r="A41" s="5"/>
      <c r="B41" s="5"/>
      <c r="C41" s="5"/>
      <c r="D41" s="5"/>
      <c r="E41" s="5"/>
      <c r="F41" s="5"/>
      <c r="G41" s="5"/>
      <c r="H41" s="5"/>
      <c r="I41" s="5"/>
      <c r="J41" s="5"/>
      <c r="K41" s="5"/>
      <c r="L41" s="5"/>
      <c r="M41" s="5"/>
      <c r="N41" s="5"/>
    </row>
    <row r="42" spans="1:14" x14ac:dyDescent="0.3">
      <c r="A42" s="5"/>
      <c r="B42" s="5"/>
      <c r="C42" s="5"/>
      <c r="D42" s="5"/>
      <c r="E42" s="5"/>
      <c r="F42" s="5"/>
      <c r="G42" s="5"/>
      <c r="H42" s="5"/>
      <c r="I42" s="5"/>
      <c r="J42" s="5"/>
      <c r="K42" s="5"/>
      <c r="L42" s="5"/>
      <c r="M42" s="5"/>
      <c r="N42" s="5"/>
    </row>
    <row r="43" spans="1:14" x14ac:dyDescent="0.3">
      <c r="A43" s="5"/>
      <c r="B43" s="5"/>
      <c r="C43" s="5"/>
      <c r="D43" s="5"/>
      <c r="E43" s="5"/>
      <c r="F43" s="5"/>
      <c r="G43" s="5"/>
      <c r="H43" s="5"/>
      <c r="I43" s="5"/>
      <c r="J43" s="5"/>
      <c r="K43" s="5"/>
      <c r="L43" s="5"/>
      <c r="M43" s="5"/>
      <c r="N43" s="5"/>
    </row>
    <row r="44" spans="1:14" x14ac:dyDescent="0.3">
      <c r="A44" s="5"/>
      <c r="B44" s="5"/>
      <c r="C44" s="5"/>
      <c r="D44" s="5"/>
      <c r="E44" s="5"/>
      <c r="F44" s="5"/>
      <c r="G44" s="5"/>
      <c r="H44" s="5"/>
      <c r="I44" s="5"/>
      <c r="J44" s="5"/>
      <c r="K44" s="5"/>
      <c r="L44" s="5"/>
      <c r="M44" s="5"/>
      <c r="N44" s="5"/>
    </row>
    <row r="45" spans="1:14" x14ac:dyDescent="0.3">
      <c r="A45" s="5"/>
      <c r="B45" s="5"/>
      <c r="C45" s="5"/>
      <c r="D45" s="5"/>
      <c r="E45" s="5"/>
      <c r="F45" s="5"/>
      <c r="G45" s="5"/>
      <c r="H45" s="5"/>
      <c r="I45" s="5"/>
      <c r="J45" s="5"/>
      <c r="K45" s="5"/>
      <c r="L45" s="5"/>
      <c r="M45" s="5"/>
      <c r="N45" s="5"/>
    </row>
    <row r="46" spans="1:14" x14ac:dyDescent="0.3">
      <c r="A46" s="5"/>
      <c r="B46" s="5"/>
      <c r="C46" s="5"/>
      <c r="D46" s="5"/>
      <c r="E46" s="5"/>
      <c r="F46" s="5"/>
      <c r="G46" s="5"/>
      <c r="H46" s="5"/>
      <c r="I46" s="5"/>
      <c r="J46" s="5"/>
      <c r="K46" s="5"/>
      <c r="L46" s="5"/>
      <c r="M46" s="5"/>
      <c r="N46" s="5"/>
    </row>
    <row r="47" spans="1:14" x14ac:dyDescent="0.3">
      <c r="A47" s="5"/>
      <c r="B47" s="5"/>
      <c r="C47" s="5"/>
      <c r="D47" s="5"/>
      <c r="E47" s="5"/>
      <c r="F47" s="5"/>
      <c r="G47" s="5"/>
      <c r="H47" s="5"/>
      <c r="I47" s="5"/>
      <c r="J47" s="5"/>
      <c r="K47" s="5"/>
      <c r="L47" s="5"/>
      <c r="M47" s="5"/>
      <c r="N47" s="5"/>
    </row>
    <row r="48" spans="1:14" x14ac:dyDescent="0.3">
      <c r="A48" s="5"/>
      <c r="B48" s="5"/>
      <c r="C48" s="5"/>
      <c r="D48" s="5"/>
      <c r="E48" s="5"/>
      <c r="F48" s="5"/>
      <c r="G48" s="5"/>
      <c r="H48" s="5"/>
      <c r="I48" s="5"/>
      <c r="J48" s="5"/>
      <c r="K48" s="5"/>
      <c r="L48" s="5"/>
      <c r="M48" s="5"/>
      <c r="N48" s="5"/>
    </row>
    <row r="49" spans="1:14" x14ac:dyDescent="0.3">
      <c r="A49" s="5"/>
      <c r="B49" s="5"/>
      <c r="C49" s="5"/>
      <c r="D49" s="5"/>
      <c r="E49" s="5"/>
      <c r="F49" s="5"/>
      <c r="G49" s="5"/>
      <c r="H49" s="5"/>
      <c r="I49" s="5"/>
      <c r="J49" s="5"/>
      <c r="K49" s="5"/>
      <c r="L49" s="5"/>
      <c r="M49" s="5"/>
      <c r="N49" s="5"/>
    </row>
    <row r="50" spans="1:14" x14ac:dyDescent="0.3">
      <c r="A50" s="5"/>
      <c r="B50" s="5"/>
      <c r="C50" s="5"/>
      <c r="D50" s="5"/>
      <c r="E50" s="5"/>
      <c r="F50" s="5"/>
      <c r="G50" s="5"/>
      <c r="H50" s="5"/>
      <c r="I50" s="5"/>
      <c r="J50" s="5"/>
      <c r="K50" s="5"/>
      <c r="L50" s="5"/>
      <c r="M50" s="5"/>
      <c r="N50" s="5"/>
    </row>
    <row r="51" spans="1:14" x14ac:dyDescent="0.3">
      <c r="A51" s="5"/>
      <c r="B51" s="5"/>
      <c r="C51" s="5"/>
      <c r="D51" s="5"/>
      <c r="E51" s="5"/>
      <c r="F51" s="5"/>
      <c r="G51" s="5"/>
      <c r="H51" s="5"/>
      <c r="I51" s="5"/>
      <c r="J51" s="5"/>
      <c r="K51" s="5"/>
      <c r="L51" s="5"/>
      <c r="M51" s="5"/>
      <c r="N51" s="5"/>
    </row>
    <row r="52" spans="1:14" x14ac:dyDescent="0.3">
      <c r="A52" s="5"/>
      <c r="B52" s="5"/>
      <c r="C52" s="5"/>
      <c r="D52" s="5"/>
      <c r="E52" s="5"/>
      <c r="F52" s="5"/>
      <c r="G52" s="5"/>
      <c r="H52" s="5"/>
      <c r="I52" s="5"/>
      <c r="J52" s="5"/>
      <c r="K52" s="5"/>
      <c r="L52" s="5"/>
      <c r="M52" s="5"/>
      <c r="N52" s="5"/>
    </row>
    <row r="53" spans="1:14" x14ac:dyDescent="0.3">
      <c r="A53" s="5"/>
      <c r="B53" s="5"/>
      <c r="C53" s="5"/>
      <c r="D53" s="5"/>
      <c r="E53" s="5"/>
      <c r="F53" s="5"/>
      <c r="G53" s="5"/>
      <c r="H53" s="5"/>
      <c r="I53" s="5"/>
      <c r="J53" s="5"/>
      <c r="K53" s="5"/>
      <c r="L53" s="5"/>
      <c r="M53" s="5"/>
      <c r="N53" s="5"/>
    </row>
    <row r="54" spans="1:14" x14ac:dyDescent="0.3">
      <c r="A54" s="5"/>
      <c r="B54" s="5"/>
      <c r="C54" s="5"/>
      <c r="D54" s="5"/>
      <c r="E54" s="5"/>
      <c r="F54" s="5"/>
      <c r="G54" s="5"/>
      <c r="H54" s="5"/>
      <c r="I54" s="5"/>
      <c r="J54" s="5"/>
      <c r="K54" s="5"/>
      <c r="L54" s="5"/>
      <c r="M54" s="5"/>
      <c r="N54" s="5"/>
    </row>
    <row r="55" spans="1:14" x14ac:dyDescent="0.3">
      <c r="A55" s="5"/>
      <c r="B55" s="5"/>
      <c r="C55" s="5"/>
      <c r="D55" s="5"/>
      <c r="E55" s="5"/>
      <c r="F55" s="5"/>
      <c r="G55" s="5"/>
      <c r="H55" s="5"/>
      <c r="I55" s="5"/>
      <c r="J55" s="5"/>
      <c r="K55" s="5"/>
      <c r="L55" s="5"/>
      <c r="M55" s="5"/>
      <c r="N55" s="5"/>
    </row>
    <row r="56" spans="1:14" x14ac:dyDescent="0.3">
      <c r="A56" s="5"/>
      <c r="B56" s="5"/>
      <c r="C56" s="5"/>
      <c r="D56" s="5"/>
      <c r="E56" s="5"/>
      <c r="F56" s="5"/>
      <c r="G56" s="5"/>
      <c r="H56" s="5"/>
      <c r="I56" s="5"/>
      <c r="J56" s="5"/>
      <c r="K56" s="5"/>
      <c r="L56" s="5"/>
      <c r="M56" s="5"/>
      <c r="N56" s="5"/>
    </row>
    <row r="57" spans="1:14" x14ac:dyDescent="0.3">
      <c r="A57" s="5"/>
      <c r="B57" s="5"/>
      <c r="C57" s="5"/>
      <c r="D57" s="5"/>
      <c r="E57" s="5"/>
      <c r="F57" s="5"/>
      <c r="G57" s="5"/>
      <c r="H57" s="5"/>
      <c r="I57" s="5"/>
      <c r="J57" s="5"/>
      <c r="K57" s="5"/>
      <c r="L57" s="5"/>
      <c r="M57" s="5"/>
      <c r="N57" s="5"/>
    </row>
    <row r="58" spans="1:14" x14ac:dyDescent="0.3">
      <c r="A58" s="5"/>
      <c r="B58" s="263" t="s">
        <v>252</v>
      </c>
      <c r="C58" s="5"/>
      <c r="D58" s="5"/>
      <c r="E58" s="5"/>
      <c r="F58" s="5"/>
      <c r="G58" s="5"/>
      <c r="H58" s="5"/>
      <c r="I58" s="5"/>
      <c r="J58" s="5"/>
      <c r="K58" s="5"/>
      <c r="L58" s="5"/>
      <c r="M58" s="5"/>
      <c r="N58" s="5"/>
    </row>
    <row r="59" spans="1:14" x14ac:dyDescent="0.3">
      <c r="A59" s="5"/>
      <c r="B59" s="17"/>
      <c r="C59" s="17"/>
      <c r="D59" s="17"/>
      <c r="E59" s="17"/>
      <c r="F59" s="17"/>
      <c r="G59" s="17"/>
      <c r="H59" s="17"/>
      <c r="I59" s="17"/>
      <c r="J59" s="17"/>
      <c r="K59" s="17"/>
      <c r="L59" s="17"/>
      <c r="M59" s="17"/>
      <c r="N59" s="17"/>
    </row>
    <row r="60" spans="1:14" x14ac:dyDescent="0.3">
      <c r="A60" s="5" t="s">
        <v>29</v>
      </c>
      <c r="B60" s="106" t="s">
        <v>290</v>
      </c>
      <c r="C60" s="107"/>
      <c r="D60" s="107"/>
      <c r="E60" s="107"/>
      <c r="F60" s="107"/>
      <c r="G60" s="107"/>
      <c r="H60" s="107"/>
      <c r="I60" s="107"/>
      <c r="J60" s="107"/>
      <c r="K60" s="107"/>
      <c r="L60" s="107"/>
      <c r="M60" s="107"/>
      <c r="N60" s="107"/>
    </row>
    <row r="61" spans="1:14" x14ac:dyDescent="0.3">
      <c r="A61" s="5"/>
      <c r="B61" s="5"/>
      <c r="C61" s="5"/>
      <c r="D61" s="5"/>
      <c r="E61" s="5"/>
      <c r="F61" s="5"/>
      <c r="G61" s="5"/>
      <c r="H61" s="5"/>
      <c r="I61" s="5"/>
      <c r="J61" s="5"/>
      <c r="K61" s="5"/>
      <c r="L61" s="5"/>
      <c r="M61" s="5"/>
      <c r="N61" s="5"/>
    </row>
    <row r="62" spans="1:14" x14ac:dyDescent="0.3">
      <c r="A62" s="5"/>
      <c r="B62" s="5"/>
      <c r="C62" s="5"/>
      <c r="D62" s="5"/>
      <c r="E62" s="5"/>
      <c r="F62" s="5"/>
      <c r="G62" s="5"/>
      <c r="H62" s="5"/>
      <c r="I62" s="5"/>
      <c r="J62" s="5"/>
      <c r="K62" s="5"/>
      <c r="L62" s="5"/>
      <c r="M62" s="5"/>
      <c r="N62" s="5"/>
    </row>
    <row r="63" spans="1:14" x14ac:dyDescent="0.3">
      <c r="A63" s="5"/>
      <c r="B63" s="5"/>
      <c r="C63" s="5"/>
      <c r="D63" s="5"/>
      <c r="E63" s="5"/>
      <c r="F63" s="5"/>
      <c r="G63" s="5"/>
      <c r="H63" s="5"/>
      <c r="I63" s="5"/>
      <c r="J63" s="5"/>
      <c r="K63" s="5"/>
      <c r="L63" s="5"/>
      <c r="M63" s="5"/>
      <c r="N63" s="5"/>
    </row>
    <row r="64" spans="1:14" x14ac:dyDescent="0.3">
      <c r="A64" s="5"/>
      <c r="B64" s="5"/>
      <c r="C64" s="5"/>
      <c r="D64" s="5"/>
      <c r="E64" s="5"/>
      <c r="F64" s="5"/>
      <c r="G64" s="5"/>
      <c r="H64" s="5"/>
      <c r="I64" s="5"/>
      <c r="J64" s="5"/>
      <c r="K64" s="5"/>
      <c r="L64" s="5"/>
      <c r="M64" s="5"/>
      <c r="N64" s="5"/>
    </row>
    <row r="65" spans="1:14" x14ac:dyDescent="0.3">
      <c r="A65" s="5"/>
      <c r="B65" s="5"/>
      <c r="C65" s="5"/>
      <c r="D65" s="5"/>
      <c r="E65" s="5"/>
      <c r="F65" s="5"/>
      <c r="G65" s="5"/>
      <c r="H65" s="5"/>
      <c r="I65" s="5"/>
      <c r="J65" s="5"/>
      <c r="K65" s="5"/>
      <c r="L65" s="5"/>
      <c r="M65" s="5"/>
      <c r="N65" s="5"/>
    </row>
    <row r="66" spans="1:14" x14ac:dyDescent="0.3">
      <c r="A66" s="5"/>
      <c r="B66" s="5"/>
      <c r="C66" s="5"/>
      <c r="D66" s="5"/>
      <c r="E66" s="5"/>
      <c r="F66" s="5"/>
      <c r="G66" s="5"/>
      <c r="H66" s="5"/>
      <c r="I66" s="5"/>
      <c r="J66" s="5"/>
      <c r="K66" s="5"/>
      <c r="L66" s="5"/>
      <c r="M66" s="5"/>
      <c r="N66" s="5"/>
    </row>
    <row r="67" spans="1:14" x14ac:dyDescent="0.3">
      <c r="A67" s="5"/>
      <c r="B67" s="5"/>
      <c r="C67" s="5"/>
      <c r="D67" s="5"/>
      <c r="E67" s="5"/>
      <c r="F67" s="5"/>
      <c r="G67" s="5"/>
      <c r="H67" s="5"/>
      <c r="I67" s="5"/>
      <c r="J67" s="5"/>
      <c r="K67" s="5"/>
      <c r="L67" s="5"/>
      <c r="M67" s="5"/>
      <c r="N67" s="5"/>
    </row>
    <row r="68" spans="1:14" x14ac:dyDescent="0.3">
      <c r="A68" s="13"/>
      <c r="B68" s="13"/>
      <c r="C68" s="13"/>
      <c r="D68" s="5"/>
      <c r="E68" s="5"/>
      <c r="F68" s="5"/>
      <c r="G68" s="5"/>
      <c r="H68" s="5"/>
      <c r="I68" s="5"/>
      <c r="J68" s="5"/>
      <c r="K68" s="5"/>
      <c r="L68" s="5"/>
      <c r="M68" s="13"/>
      <c r="N68" s="13"/>
    </row>
    <row r="69" spans="1:14" x14ac:dyDescent="0.3">
      <c r="A69" s="13"/>
      <c r="B69" s="13"/>
      <c r="C69" s="13"/>
      <c r="D69" s="5"/>
      <c r="E69" s="5"/>
      <c r="F69" s="5"/>
      <c r="G69" s="5"/>
      <c r="H69" s="5"/>
      <c r="I69" s="5"/>
      <c r="J69" s="5"/>
      <c r="K69" s="5"/>
      <c r="L69" s="5"/>
      <c r="M69" s="13"/>
      <c r="N69" s="13"/>
    </row>
    <row r="70" spans="1:14" x14ac:dyDescent="0.3">
      <c r="A70" s="13"/>
      <c r="B70" s="13"/>
      <c r="C70" s="13"/>
      <c r="D70" s="5"/>
      <c r="E70" s="5"/>
      <c r="F70" s="5"/>
      <c r="G70" s="5"/>
      <c r="H70" s="5"/>
      <c r="I70" s="5"/>
      <c r="J70" s="5"/>
      <c r="K70" s="5"/>
      <c r="L70" s="5"/>
      <c r="M70" s="13"/>
      <c r="N70" s="13"/>
    </row>
    <row r="71" spans="1:14" x14ac:dyDescent="0.3">
      <c r="A71" s="5"/>
      <c r="B71" s="5"/>
      <c r="C71" s="5"/>
      <c r="D71" s="5"/>
      <c r="E71" s="5"/>
      <c r="F71" s="5"/>
      <c r="G71" s="5"/>
      <c r="H71" s="5"/>
      <c r="I71" s="5"/>
      <c r="J71" s="5"/>
      <c r="K71" s="5"/>
      <c r="L71" s="5"/>
      <c r="M71" s="5"/>
      <c r="N71" s="5"/>
    </row>
    <row r="72" spans="1:14" x14ac:dyDescent="0.3">
      <c r="A72" s="5"/>
      <c r="B72" s="5"/>
      <c r="C72" s="5"/>
      <c r="D72" s="5"/>
      <c r="E72" s="5"/>
      <c r="F72" s="5"/>
      <c r="G72" s="5"/>
      <c r="H72" s="5"/>
      <c r="I72" s="5"/>
      <c r="J72" s="5"/>
      <c r="K72" s="5"/>
      <c r="L72" s="5"/>
      <c r="M72" s="5"/>
      <c r="N72" s="5"/>
    </row>
    <row r="73" spans="1:14" x14ac:dyDescent="0.3">
      <c r="A73" s="5"/>
      <c r="B73" s="5"/>
      <c r="C73" s="5"/>
      <c r="D73" s="5"/>
      <c r="E73" s="5"/>
      <c r="F73" s="5"/>
      <c r="G73" s="5"/>
      <c r="H73" s="5"/>
      <c r="I73" s="5"/>
      <c r="J73" s="5"/>
      <c r="K73" s="5"/>
      <c r="L73" s="5"/>
      <c r="M73" s="5"/>
      <c r="N73" s="5"/>
    </row>
    <row r="74" spans="1:14" x14ac:dyDescent="0.3">
      <c r="A74" s="5"/>
      <c r="B74" s="5"/>
      <c r="C74" s="5"/>
      <c r="D74" s="5"/>
      <c r="E74" s="5"/>
      <c r="F74" s="5"/>
      <c r="G74" s="5"/>
      <c r="H74" s="5"/>
      <c r="I74" s="5"/>
      <c r="J74" s="5"/>
      <c r="K74" s="5"/>
      <c r="L74" s="5"/>
      <c r="M74" s="5"/>
      <c r="N74" s="5"/>
    </row>
    <row r="75" spans="1:14" x14ac:dyDescent="0.3">
      <c r="A75" s="5"/>
      <c r="B75" s="5"/>
      <c r="C75" s="5"/>
      <c r="D75" s="5"/>
      <c r="E75" s="5"/>
      <c r="F75" s="5"/>
      <c r="G75" s="5"/>
      <c r="H75" s="5"/>
      <c r="I75" s="5"/>
      <c r="J75" s="5"/>
      <c r="K75" s="5"/>
      <c r="L75" s="5"/>
      <c r="M75" s="5"/>
      <c r="N75" s="5"/>
    </row>
    <row r="76" spans="1:14" x14ac:dyDescent="0.3">
      <c r="A76" s="5"/>
      <c r="B76" s="5"/>
      <c r="C76" s="5"/>
      <c r="D76" s="5"/>
      <c r="E76" s="5"/>
      <c r="F76" s="5"/>
      <c r="G76" s="5"/>
      <c r="H76" s="5"/>
      <c r="I76" s="5"/>
      <c r="J76" s="5"/>
      <c r="K76" s="5"/>
      <c r="L76" s="5"/>
      <c r="M76" s="5"/>
      <c r="N76" s="5"/>
    </row>
    <row r="77" spans="1:14" x14ac:dyDescent="0.3">
      <c r="A77" s="5"/>
      <c r="B77" s="5"/>
      <c r="C77" s="5"/>
      <c r="D77" s="5"/>
      <c r="E77" s="5"/>
      <c r="F77" s="5"/>
      <c r="G77" s="5"/>
      <c r="H77" s="5"/>
      <c r="I77" s="5"/>
      <c r="J77" s="5"/>
      <c r="K77" s="5"/>
      <c r="L77" s="5"/>
      <c r="M77" s="5"/>
      <c r="N77" s="5"/>
    </row>
    <row r="78" spans="1:14" x14ac:dyDescent="0.3">
      <c r="A78" s="5"/>
      <c r="B78" s="5"/>
      <c r="C78" s="5"/>
      <c r="D78" s="5"/>
      <c r="E78" s="5"/>
      <c r="F78" s="5"/>
      <c r="G78" s="5"/>
      <c r="H78" s="5"/>
      <c r="I78" s="5"/>
      <c r="J78" s="5"/>
      <c r="K78" s="5"/>
      <c r="L78" s="5"/>
      <c r="M78" s="5"/>
      <c r="N78" s="5"/>
    </row>
    <row r="79" spans="1:14" x14ac:dyDescent="0.3">
      <c r="A79" s="5"/>
      <c r="B79" s="5"/>
      <c r="C79" s="5"/>
      <c r="D79" s="5"/>
      <c r="E79" s="5"/>
      <c r="F79" s="5"/>
      <c r="G79" s="5"/>
      <c r="H79" s="5"/>
      <c r="I79" s="5"/>
      <c r="J79" s="5"/>
      <c r="K79" s="5"/>
      <c r="L79" s="5"/>
      <c r="M79" s="5"/>
      <c r="N79" s="5"/>
    </row>
    <row r="80" spans="1:14" x14ac:dyDescent="0.3">
      <c r="A80" s="5"/>
      <c r="B80" s="5"/>
      <c r="C80" s="5"/>
      <c r="D80" s="5"/>
      <c r="E80" s="5"/>
      <c r="F80" s="5"/>
      <c r="G80" s="5"/>
      <c r="H80" s="5"/>
      <c r="I80" s="5"/>
      <c r="J80" s="5"/>
      <c r="K80" s="5"/>
      <c r="L80" s="5"/>
      <c r="M80" s="5"/>
      <c r="N80" s="5"/>
    </row>
    <row r="81" spans="1:14" x14ac:dyDescent="0.3">
      <c r="A81" s="5"/>
      <c r="B81" s="5"/>
      <c r="C81" s="5"/>
      <c r="D81" s="5"/>
      <c r="E81" s="5"/>
      <c r="F81" s="5"/>
      <c r="G81" s="5"/>
      <c r="H81" s="5"/>
      <c r="I81" s="5"/>
      <c r="J81" s="5"/>
      <c r="K81" s="5"/>
      <c r="L81" s="5"/>
      <c r="M81" s="5"/>
      <c r="N81" s="5"/>
    </row>
    <row r="82" spans="1:14" x14ac:dyDescent="0.3">
      <c r="A82" s="5"/>
      <c r="B82" s="5"/>
      <c r="C82" s="5"/>
      <c r="D82" s="5"/>
      <c r="E82" s="5"/>
      <c r="F82" s="5"/>
      <c r="G82" s="5"/>
      <c r="H82" s="5"/>
      <c r="I82" s="5"/>
      <c r="J82" s="5"/>
      <c r="K82" s="5"/>
      <c r="L82" s="5"/>
      <c r="M82" s="5"/>
      <c r="N82" s="5"/>
    </row>
    <row r="83" spans="1:14" x14ac:dyDescent="0.3">
      <c r="A83" s="5"/>
      <c r="B83" s="5"/>
      <c r="C83" s="5"/>
      <c r="D83" s="5"/>
      <c r="E83" s="5"/>
      <c r="F83" s="5"/>
      <c r="G83" s="5"/>
      <c r="H83" s="5"/>
      <c r="I83" s="5"/>
      <c r="J83" s="5"/>
      <c r="K83" s="5"/>
      <c r="L83" s="5"/>
      <c r="M83" s="5"/>
      <c r="N83" s="5"/>
    </row>
    <row r="84" spans="1:14" x14ac:dyDescent="0.3">
      <c r="A84" s="5"/>
      <c r="B84" s="5"/>
      <c r="C84" s="5"/>
      <c r="D84" s="5"/>
      <c r="E84" s="5"/>
      <c r="F84" s="5"/>
      <c r="G84" s="5"/>
      <c r="H84" s="5"/>
      <c r="I84" s="5"/>
      <c r="J84" s="5"/>
      <c r="K84" s="5"/>
      <c r="L84" s="5"/>
      <c r="M84" s="5"/>
      <c r="N84" s="5"/>
    </row>
    <row r="85" spans="1:14" x14ac:dyDescent="0.3">
      <c r="A85" s="5"/>
      <c r="B85" s="5"/>
      <c r="C85" s="5"/>
      <c r="D85" s="5"/>
      <c r="E85" s="5"/>
      <c r="F85" s="5"/>
      <c r="G85" s="5"/>
      <c r="H85" s="5"/>
      <c r="I85" s="5"/>
      <c r="J85" s="5"/>
      <c r="K85" s="5"/>
      <c r="L85" s="5"/>
      <c r="M85" s="5"/>
      <c r="N85" s="5"/>
    </row>
    <row r="86" spans="1:14" x14ac:dyDescent="0.3">
      <c r="A86" s="5"/>
      <c r="B86" s="5"/>
      <c r="C86" s="5"/>
      <c r="D86" s="5"/>
      <c r="E86" s="5"/>
      <c r="F86" s="5"/>
      <c r="G86" s="5"/>
      <c r="H86" s="5"/>
      <c r="I86" s="5"/>
      <c r="J86" s="5"/>
      <c r="K86" s="5"/>
      <c r="L86" s="5"/>
      <c r="M86" s="5"/>
      <c r="N86" s="5"/>
    </row>
    <row r="87" spans="1:14" x14ac:dyDescent="0.3">
      <c r="A87" s="5"/>
      <c r="C87" s="5"/>
      <c r="D87" s="5"/>
      <c r="E87" s="5"/>
      <c r="F87" s="5"/>
      <c r="G87" s="5"/>
      <c r="H87" s="5"/>
      <c r="I87" s="5"/>
      <c r="J87" s="5"/>
      <c r="K87" s="5"/>
      <c r="L87" s="5"/>
      <c r="M87" s="5"/>
      <c r="N87" s="5"/>
    </row>
    <row r="88" spans="1:14" x14ac:dyDescent="0.3">
      <c r="A88" s="5"/>
      <c r="B88" s="263" t="s">
        <v>252</v>
      </c>
      <c r="C88" s="5"/>
      <c r="D88" s="5"/>
      <c r="E88" s="5"/>
      <c r="F88" s="5"/>
      <c r="G88" s="5"/>
      <c r="H88" s="5"/>
      <c r="I88" s="5"/>
      <c r="J88" s="5"/>
      <c r="K88" s="5"/>
      <c r="L88" s="5"/>
      <c r="M88" s="5"/>
      <c r="N88" s="5"/>
    </row>
    <row r="89" spans="1:14" x14ac:dyDescent="0.3">
      <c r="A89" s="194" t="s">
        <v>29</v>
      </c>
      <c r="B89" s="172"/>
      <c r="C89" s="172"/>
      <c r="D89" s="172"/>
      <c r="E89" s="172"/>
      <c r="F89" s="172"/>
      <c r="G89" s="172"/>
      <c r="H89" s="172"/>
      <c r="I89" s="172"/>
      <c r="J89" s="172"/>
      <c r="K89" s="172"/>
      <c r="L89" s="172"/>
      <c r="M89" s="172"/>
      <c r="N89" s="172"/>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5850-E4D0-400F-8073-6350B6122375}">
  <sheetPr>
    <outlinePr showOutlineSymbols="0"/>
    <pageSetUpPr autoPageBreaks="0"/>
  </sheetPr>
  <dimension ref="A1:U91"/>
  <sheetViews>
    <sheetView showGridLines="0" showOutlineSymbols="0" zoomScaleNormal="100" workbookViewId="0">
      <pane ySplit="2" topLeftCell="A3" activePane="bottomLeft" state="frozen"/>
      <selection activeCell="A3" sqref="A3"/>
      <selection pane="bottomLeft" activeCell="A3" sqref="A3"/>
    </sheetView>
  </sheetViews>
  <sheetFormatPr defaultRowHeight="16.5" x14ac:dyDescent="0.3"/>
  <cols>
    <col min="1" max="1" width="5.7109375" style="194" customWidth="1"/>
    <col min="2" max="2" width="1.7109375" style="194" customWidth="1"/>
    <col min="3" max="3" width="11.7109375" style="194" customWidth="1"/>
    <col min="4" max="4" width="17.7109375" style="194" customWidth="1"/>
    <col min="5" max="8" width="15.7109375" style="194" customWidth="1"/>
    <col min="9" max="13" width="10.7109375" style="194" customWidth="1"/>
    <col min="14" max="14" width="2.7109375" style="194" customWidth="1"/>
    <col min="15" max="15" width="9.140625" style="194"/>
    <col min="16" max="16" width="4.7109375" style="221" customWidth="1"/>
    <col min="17" max="16384" width="9.140625" style="194"/>
  </cols>
  <sheetData>
    <row r="1" spans="1:16" ht="6" customHeight="1" x14ac:dyDescent="0.3">
      <c r="A1" s="13"/>
      <c r="B1" s="13"/>
      <c r="C1" s="13"/>
      <c r="D1" s="13"/>
      <c r="E1" s="13"/>
      <c r="F1" s="13"/>
      <c r="G1" s="13"/>
      <c r="H1" s="13"/>
      <c r="I1" s="13"/>
      <c r="J1" s="13"/>
      <c r="K1" s="13"/>
      <c r="L1" s="13"/>
      <c r="M1" s="13"/>
      <c r="N1" s="13"/>
    </row>
    <row r="2" spans="1:16" ht="39.950000000000003" customHeight="1" x14ac:dyDescent="0.3">
      <c r="A2" s="13"/>
      <c r="B2" s="104"/>
      <c r="C2" s="104"/>
      <c r="D2" s="241" t="s">
        <v>28</v>
      </c>
      <c r="E2" s="104"/>
      <c r="F2" s="104"/>
      <c r="G2" s="104"/>
      <c r="H2" s="104"/>
      <c r="I2" s="105"/>
      <c r="J2" s="104"/>
      <c r="K2" s="104"/>
      <c r="L2" s="104"/>
      <c r="M2" s="104"/>
      <c r="N2" s="104"/>
    </row>
    <row r="3" spans="1:16" x14ac:dyDescent="0.3">
      <c r="A3" s="13"/>
      <c r="B3" s="13"/>
      <c r="C3" s="13"/>
      <c r="D3" s="13"/>
      <c r="E3" s="13"/>
      <c r="F3" s="13"/>
      <c r="G3" s="13"/>
      <c r="H3" s="13"/>
      <c r="I3" s="13"/>
      <c r="J3" s="13"/>
      <c r="K3" s="13"/>
      <c r="L3" s="13"/>
      <c r="M3" s="13"/>
      <c r="N3" s="13"/>
    </row>
    <row r="4" spans="1:16" x14ac:dyDescent="0.3">
      <c r="A4" s="13" t="s">
        <v>29</v>
      </c>
      <c r="B4" s="106" t="s">
        <v>254</v>
      </c>
      <c r="C4" s="107"/>
      <c r="D4" s="107"/>
      <c r="E4" s="107"/>
      <c r="F4" s="107"/>
      <c r="G4" s="107"/>
      <c r="H4" s="107"/>
      <c r="I4" s="107"/>
      <c r="J4" s="107"/>
      <c r="K4" s="107"/>
      <c r="L4" s="107"/>
      <c r="M4" s="107"/>
      <c r="N4" s="107"/>
    </row>
    <row r="5" spans="1:16" x14ac:dyDescent="0.3">
      <c r="A5" s="13"/>
      <c r="B5" s="13"/>
      <c r="C5" s="13"/>
      <c r="D5" s="13"/>
      <c r="E5" s="13"/>
      <c r="F5" s="13"/>
      <c r="G5" s="13"/>
      <c r="H5" s="13"/>
      <c r="I5" s="13"/>
      <c r="J5" s="13"/>
      <c r="K5" s="13"/>
      <c r="L5" s="13"/>
      <c r="M5" s="13"/>
      <c r="N5" s="13"/>
    </row>
    <row r="6" spans="1:16" x14ac:dyDescent="0.3">
      <c r="A6" s="13"/>
      <c r="B6" s="21" t="s">
        <v>260</v>
      </c>
      <c r="J6" s="267" t="s">
        <v>292</v>
      </c>
      <c r="K6" s="267"/>
      <c r="L6" s="268" t="s">
        <v>295</v>
      </c>
      <c r="M6" s="267"/>
      <c r="N6" s="13"/>
    </row>
    <row r="7" spans="1:16" x14ac:dyDescent="0.3">
      <c r="A7" s="13"/>
      <c r="B7" s="108"/>
      <c r="C7" s="13"/>
      <c r="D7" s="13"/>
      <c r="E7" s="287"/>
      <c r="F7" s="13"/>
      <c r="G7" s="13"/>
      <c r="H7" s="5"/>
      <c r="J7" s="229" t="s">
        <v>293</v>
      </c>
      <c r="K7" s="231" t="s">
        <v>294</v>
      </c>
      <c r="L7" s="229" t="s">
        <v>293</v>
      </c>
      <c r="M7" s="230" t="s">
        <v>294</v>
      </c>
      <c r="N7" s="13"/>
    </row>
    <row r="8" spans="1:16" s="133" customFormat="1" x14ac:dyDescent="0.3">
      <c r="A8" s="5"/>
      <c r="B8" s="88" t="s">
        <v>259</v>
      </c>
      <c r="C8" s="12"/>
      <c r="D8" s="13"/>
      <c r="E8" s="286" t="s">
        <v>255</v>
      </c>
      <c r="F8" s="13"/>
      <c r="G8" s="13"/>
      <c r="H8" s="13"/>
      <c r="I8" s="194"/>
      <c r="J8" s="233">
        <f>'Segment Analysis'!J11</f>
        <v>0.14599999999999999</v>
      </c>
      <c r="K8" s="234">
        <f>'Segment Analysis'!K18</f>
        <v>0.151</v>
      </c>
      <c r="L8" s="233">
        <f>J8</f>
        <v>0.14599999999999999</v>
      </c>
      <c r="M8" s="235">
        <f>K8</f>
        <v>0.151</v>
      </c>
      <c r="N8" s="5"/>
      <c r="P8" s="222"/>
    </row>
    <row r="9" spans="1:16" s="133" customFormat="1" x14ac:dyDescent="0.3">
      <c r="A9" s="5"/>
      <c r="B9" s="86" t="s">
        <v>261</v>
      </c>
      <c r="E9" s="286" t="s">
        <v>255</v>
      </c>
      <c r="F9" s="5"/>
      <c r="G9" s="5"/>
      <c r="H9" s="5"/>
      <c r="J9" s="233">
        <f>'Segment Analysis'!M11</f>
        <v>0.05</v>
      </c>
      <c r="K9" s="236">
        <f>'Segment Analysis'!M18</f>
        <v>0.10199999999999999</v>
      </c>
      <c r="L9" s="233">
        <f>J9</f>
        <v>0.05</v>
      </c>
      <c r="M9" s="235">
        <f>K9</f>
        <v>0.10199999999999999</v>
      </c>
      <c r="N9" s="5"/>
      <c r="P9" s="222"/>
    </row>
    <row r="10" spans="1:16" s="133" customFormat="1" x14ac:dyDescent="0.3">
      <c r="A10" s="5"/>
      <c r="B10" s="21" t="s">
        <v>258</v>
      </c>
      <c r="C10" s="5"/>
      <c r="D10" s="5"/>
      <c r="E10" s="286" t="s">
        <v>255</v>
      </c>
      <c r="F10" s="5"/>
      <c r="G10" s="5"/>
      <c r="H10" s="5"/>
      <c r="J10" s="162">
        <v>0.05</v>
      </c>
      <c r="K10" s="232">
        <v>0.1</v>
      </c>
      <c r="L10" s="162">
        <v>0.03</v>
      </c>
      <c r="M10" s="163">
        <v>0.08</v>
      </c>
      <c r="N10" s="5"/>
      <c r="P10" s="222"/>
    </row>
    <row r="11" spans="1:16" x14ac:dyDescent="0.3">
      <c r="A11" s="13"/>
      <c r="B11" s="5"/>
      <c r="C11" s="5"/>
      <c r="D11" s="5"/>
      <c r="E11" s="5"/>
      <c r="F11" s="5"/>
      <c r="G11" s="5"/>
      <c r="H11" s="5"/>
      <c r="I11" s="133"/>
      <c r="J11" s="5"/>
      <c r="K11" s="5"/>
      <c r="L11" s="5"/>
      <c r="M11" s="5"/>
      <c r="N11" s="5"/>
    </row>
    <row r="12" spans="1:16" s="133" customFormat="1" x14ac:dyDescent="0.3">
      <c r="A12" s="5"/>
      <c r="B12" s="5"/>
      <c r="C12" s="114"/>
      <c r="D12" s="5"/>
      <c r="E12" s="5"/>
      <c r="F12" s="5"/>
      <c r="G12" s="5"/>
      <c r="H12" s="27"/>
      <c r="I12" s="94"/>
      <c r="J12" s="94"/>
      <c r="K12" s="94"/>
      <c r="L12" s="94"/>
      <c r="M12" s="116"/>
      <c r="N12" s="27"/>
      <c r="P12" s="222"/>
    </row>
    <row r="13" spans="1:16" s="133" customFormat="1" x14ac:dyDescent="0.3">
      <c r="A13" s="5"/>
      <c r="B13" s="269" t="s">
        <v>291</v>
      </c>
      <c r="C13" s="118"/>
      <c r="D13" s="119"/>
      <c r="E13" s="119"/>
      <c r="F13" s="119"/>
      <c r="G13" s="119"/>
      <c r="H13" s="120"/>
      <c r="I13" s="157"/>
      <c r="J13" s="157"/>
      <c r="K13" s="270"/>
      <c r="L13" s="270"/>
      <c r="M13" s="237">
        <v>5.34</v>
      </c>
      <c r="N13" s="27"/>
      <c r="P13" s="222"/>
    </row>
    <row r="14" spans="1:16" s="133" customFormat="1" x14ac:dyDescent="0.3">
      <c r="A14" s="5"/>
      <c r="B14" s="21"/>
      <c r="C14" s="87"/>
      <c r="D14" s="5"/>
      <c r="E14" s="5"/>
      <c r="F14" s="5"/>
      <c r="G14" s="5"/>
      <c r="H14" s="27"/>
      <c r="M14" s="7"/>
      <c r="N14" s="27"/>
      <c r="P14" s="222"/>
    </row>
    <row r="15" spans="1:16" x14ac:dyDescent="0.3">
      <c r="A15" s="13"/>
      <c r="B15" s="23"/>
      <c r="C15" s="5"/>
      <c r="D15" s="5"/>
      <c r="E15" s="5"/>
      <c r="F15" s="5"/>
      <c r="G15" s="5"/>
      <c r="H15" s="27"/>
      <c r="J15" s="156" t="s">
        <v>256</v>
      </c>
      <c r="K15" s="161"/>
      <c r="L15" s="160" t="s">
        <v>257</v>
      </c>
      <c r="M15" s="270"/>
      <c r="N15" s="27"/>
    </row>
    <row r="16" spans="1:16" s="133" customFormat="1" x14ac:dyDescent="0.3">
      <c r="A16" s="5"/>
      <c r="B16" s="23"/>
      <c r="C16" s="90"/>
      <c r="D16" s="5"/>
      <c r="E16" s="5"/>
      <c r="F16" s="5"/>
      <c r="G16" s="5"/>
      <c r="H16" s="27"/>
      <c r="J16" s="158">
        <v>6</v>
      </c>
      <c r="K16" s="15"/>
      <c r="L16" s="159">
        <v>32</v>
      </c>
      <c r="N16" s="27"/>
      <c r="P16" s="222"/>
    </row>
    <row r="17" spans="1:21" s="133" customFormat="1" x14ac:dyDescent="0.3">
      <c r="A17" s="5"/>
      <c r="B17" s="5"/>
      <c r="C17" s="88"/>
      <c r="D17" s="5"/>
      <c r="E17" s="5"/>
      <c r="F17" s="5"/>
      <c r="G17" s="5"/>
      <c r="H17" s="27"/>
      <c r="J17" s="158">
        <v>7</v>
      </c>
      <c r="K17" s="95"/>
      <c r="L17" s="159">
        <v>37.4</v>
      </c>
      <c r="N17" s="27"/>
      <c r="P17" s="222"/>
    </row>
    <row r="18" spans="1:21" s="133" customFormat="1" x14ac:dyDescent="0.3">
      <c r="A18" s="5"/>
      <c r="B18" s="21"/>
      <c r="C18" s="90"/>
      <c r="D18" s="5"/>
      <c r="E18" s="5"/>
      <c r="F18" s="5"/>
      <c r="G18" s="5"/>
      <c r="H18" s="27"/>
      <c r="J18" s="158">
        <v>8</v>
      </c>
      <c r="K18" s="89"/>
      <c r="L18" s="159">
        <v>42.7</v>
      </c>
      <c r="N18" s="27"/>
      <c r="P18" s="222"/>
    </row>
    <row r="19" spans="1:21" s="133" customFormat="1" x14ac:dyDescent="0.3">
      <c r="A19" s="5"/>
      <c r="C19" s="5"/>
      <c r="D19" s="5"/>
      <c r="E19" s="5"/>
      <c r="F19" s="5"/>
      <c r="G19" s="5"/>
      <c r="H19" s="27"/>
      <c r="J19" s="158">
        <v>9</v>
      </c>
      <c r="K19" s="32"/>
      <c r="L19" s="159">
        <v>48.1</v>
      </c>
      <c r="N19" s="27"/>
      <c r="P19" s="222"/>
    </row>
    <row r="20" spans="1:21" s="133" customFormat="1" x14ac:dyDescent="0.3">
      <c r="A20" s="5"/>
      <c r="B20" s="21"/>
      <c r="C20" s="5"/>
      <c r="D20" s="5"/>
      <c r="E20" s="5"/>
      <c r="F20" s="5"/>
      <c r="G20" s="5"/>
      <c r="H20" s="5"/>
      <c r="I20" s="15"/>
      <c r="J20" s="158">
        <v>10</v>
      </c>
      <c r="K20" s="89"/>
      <c r="L20" s="159">
        <v>53.4</v>
      </c>
      <c r="M20" s="89"/>
      <c r="N20" s="27"/>
      <c r="P20" s="222"/>
    </row>
    <row r="21" spans="1:21" s="133" customFormat="1" x14ac:dyDescent="0.3">
      <c r="A21" s="5"/>
      <c r="B21" s="5"/>
      <c r="C21" s="90"/>
      <c r="D21" s="5"/>
      <c r="E21" s="5"/>
      <c r="F21" s="5"/>
      <c r="G21" s="5"/>
      <c r="H21" s="27"/>
      <c r="I21" s="15"/>
      <c r="J21" s="15"/>
      <c r="K21" s="15"/>
      <c r="L21" s="15"/>
      <c r="M21" s="116"/>
      <c r="N21" s="27"/>
      <c r="P21" s="222"/>
    </row>
    <row r="22" spans="1:21" s="133" customFormat="1" x14ac:dyDescent="0.3">
      <c r="A22" s="5"/>
      <c r="B22" s="5"/>
      <c r="C22" s="90"/>
      <c r="H22" s="27"/>
      <c r="I22" s="15"/>
      <c r="J22" s="15"/>
      <c r="K22" s="15"/>
      <c r="L22" s="15"/>
      <c r="M22" s="116"/>
      <c r="N22" s="27"/>
      <c r="P22" s="222"/>
    </row>
    <row r="23" spans="1:21" x14ac:dyDescent="0.3">
      <c r="A23" s="13"/>
      <c r="C23" s="90"/>
      <c r="H23" s="27"/>
      <c r="I23" s="15"/>
      <c r="J23" s="15"/>
      <c r="K23" s="15"/>
      <c r="L23" s="15"/>
      <c r="M23" s="116"/>
      <c r="N23" s="27"/>
      <c r="R23" s="258"/>
      <c r="S23" s="258"/>
      <c r="T23" s="258"/>
      <c r="U23" s="258"/>
    </row>
    <row r="24" spans="1:21" s="133" customFormat="1" x14ac:dyDescent="0.3">
      <c r="A24" s="5"/>
      <c r="C24" s="5"/>
      <c r="H24" s="27"/>
      <c r="I24" s="15"/>
      <c r="J24" s="15"/>
      <c r="K24" s="15"/>
      <c r="L24" s="15"/>
      <c r="M24" s="116"/>
      <c r="N24" s="27"/>
      <c r="P24" s="222"/>
      <c r="R24" s="258"/>
      <c r="S24" s="258"/>
      <c r="T24" s="258"/>
      <c r="U24" s="258"/>
    </row>
    <row r="25" spans="1:21" s="133" customFormat="1" x14ac:dyDescent="0.3">
      <c r="A25" s="5"/>
      <c r="C25" s="5"/>
      <c r="H25" s="27"/>
      <c r="I25" s="15"/>
      <c r="J25" s="15"/>
      <c r="K25" s="15"/>
      <c r="L25" s="32"/>
      <c r="M25" s="116"/>
      <c r="N25" s="27"/>
      <c r="P25" s="222"/>
      <c r="R25" s="258"/>
      <c r="S25" s="258"/>
      <c r="T25" s="258"/>
      <c r="U25" s="258"/>
    </row>
    <row r="26" spans="1:21" s="133" customFormat="1" x14ac:dyDescent="0.3">
      <c r="A26" s="5"/>
      <c r="B26" s="23"/>
      <c r="C26" s="92"/>
      <c r="D26" s="5"/>
      <c r="E26" s="5"/>
      <c r="F26" s="5"/>
      <c r="G26" s="5"/>
      <c r="H26" s="27"/>
      <c r="I26" s="97"/>
      <c r="J26" s="97"/>
      <c r="K26" s="97"/>
      <c r="L26" s="97"/>
      <c r="M26" s="116"/>
      <c r="N26" s="27"/>
      <c r="P26" s="222"/>
      <c r="R26" s="258"/>
      <c r="S26" s="258"/>
      <c r="T26" s="258"/>
      <c r="U26" s="258"/>
    </row>
    <row r="27" spans="1:21" s="133" customFormat="1" x14ac:dyDescent="0.3">
      <c r="A27" s="5"/>
      <c r="B27" s="21"/>
      <c r="C27" s="92"/>
      <c r="D27" s="5"/>
      <c r="E27" s="5"/>
      <c r="F27" s="5"/>
      <c r="G27" s="5"/>
      <c r="H27" s="27"/>
      <c r="I27" s="27"/>
      <c r="J27" s="27"/>
      <c r="K27" s="27"/>
      <c r="L27" s="110"/>
      <c r="M27" s="116"/>
      <c r="N27" s="27"/>
      <c r="P27" s="222"/>
      <c r="R27" s="258"/>
      <c r="S27" s="258"/>
      <c r="T27" s="258"/>
      <c r="U27" s="258"/>
    </row>
    <row r="28" spans="1:21" x14ac:dyDescent="0.3">
      <c r="A28" s="13"/>
      <c r="B28" s="5"/>
      <c r="C28" s="92"/>
      <c r="D28" s="5"/>
      <c r="E28" s="5"/>
      <c r="F28" s="6"/>
      <c r="G28" s="5"/>
      <c r="H28" s="27"/>
      <c r="I28" s="103"/>
      <c r="J28" s="103"/>
      <c r="K28" s="103"/>
      <c r="L28" s="103"/>
      <c r="M28" s="103"/>
      <c r="N28" s="27"/>
    </row>
    <row r="29" spans="1:21" x14ac:dyDescent="0.3">
      <c r="A29" s="13"/>
      <c r="B29" s="5"/>
      <c r="C29" s="13"/>
      <c r="D29" s="13"/>
      <c r="E29" s="13"/>
      <c r="F29" s="13"/>
      <c r="G29" s="13"/>
      <c r="H29" s="13"/>
      <c r="I29" s="13"/>
      <c r="J29" s="13"/>
      <c r="K29" s="13"/>
      <c r="L29" s="13"/>
      <c r="M29" s="13"/>
      <c r="N29" s="5"/>
    </row>
    <row r="30" spans="1:21" x14ac:dyDescent="0.3">
      <c r="A30" s="5"/>
      <c r="B30" s="17"/>
      <c r="C30" s="17"/>
      <c r="D30" s="17"/>
      <c r="E30" s="17"/>
      <c r="F30" s="17"/>
      <c r="G30" s="17"/>
      <c r="H30" s="17"/>
      <c r="I30" s="17"/>
      <c r="J30" s="17"/>
      <c r="K30" s="17"/>
      <c r="L30" s="17"/>
      <c r="M30" s="17"/>
      <c r="N30" s="17"/>
    </row>
    <row r="31" spans="1:21" x14ac:dyDescent="0.3">
      <c r="A31" s="5" t="s">
        <v>29</v>
      </c>
      <c r="B31" s="106" t="s">
        <v>296</v>
      </c>
      <c r="C31" s="107"/>
      <c r="D31" s="107"/>
      <c r="E31" s="107"/>
      <c r="F31" s="107"/>
      <c r="G31" s="107"/>
      <c r="H31" s="107"/>
      <c r="I31" s="107"/>
      <c r="J31" s="107"/>
      <c r="K31" s="107"/>
      <c r="L31" s="107"/>
      <c r="M31" s="107"/>
      <c r="N31" s="107"/>
    </row>
    <row r="32" spans="1:21" x14ac:dyDescent="0.3">
      <c r="A32" s="5"/>
      <c r="B32" s="5"/>
      <c r="C32" s="5"/>
      <c r="D32" s="5"/>
      <c r="E32" s="5"/>
      <c r="F32" s="5"/>
      <c r="G32" s="5"/>
      <c r="H32" s="5"/>
      <c r="I32" s="5"/>
      <c r="J32" s="5"/>
      <c r="K32" s="5"/>
      <c r="L32" s="5"/>
      <c r="M32" s="5"/>
      <c r="N32" s="5"/>
    </row>
    <row r="33" spans="1:14" x14ac:dyDescent="0.3">
      <c r="A33" s="5"/>
      <c r="B33" s="5"/>
      <c r="C33" s="5"/>
      <c r="D33" s="5"/>
      <c r="E33" s="5"/>
      <c r="F33" s="5"/>
      <c r="G33" s="5"/>
      <c r="H33" s="5"/>
      <c r="I33" s="5"/>
      <c r="J33" s="5"/>
      <c r="K33" s="5"/>
      <c r="L33" s="5"/>
      <c r="M33" s="5"/>
      <c r="N33" s="5"/>
    </row>
    <row r="34" spans="1:14" x14ac:dyDescent="0.3">
      <c r="A34" s="5"/>
      <c r="B34" s="5"/>
      <c r="C34" s="5"/>
      <c r="D34" s="5"/>
      <c r="E34" s="5"/>
      <c r="F34" s="5"/>
      <c r="G34" s="5"/>
      <c r="H34" s="5"/>
      <c r="I34" s="5"/>
      <c r="J34" s="5"/>
      <c r="K34" s="5"/>
      <c r="L34" s="5"/>
      <c r="M34" s="5"/>
      <c r="N34" s="5"/>
    </row>
    <row r="35" spans="1:14" x14ac:dyDescent="0.3">
      <c r="A35" s="5"/>
      <c r="B35" s="5"/>
      <c r="C35" s="5"/>
      <c r="D35" s="5"/>
      <c r="E35" s="5"/>
      <c r="F35" s="5"/>
      <c r="G35" s="5"/>
      <c r="H35" s="5"/>
      <c r="I35" s="5"/>
      <c r="J35" s="5"/>
      <c r="K35" s="5"/>
      <c r="L35" s="5"/>
      <c r="M35" s="5"/>
      <c r="N35" s="5"/>
    </row>
    <row r="36" spans="1:14" x14ac:dyDescent="0.3">
      <c r="A36" s="5"/>
      <c r="B36" s="5"/>
      <c r="C36" s="5"/>
      <c r="D36" s="5"/>
      <c r="E36" s="5"/>
      <c r="F36" s="5"/>
      <c r="G36" s="5"/>
      <c r="H36" s="5"/>
      <c r="I36" s="5"/>
      <c r="J36" s="5"/>
      <c r="K36" s="5"/>
      <c r="L36" s="5"/>
      <c r="M36" s="5"/>
      <c r="N36" s="5"/>
    </row>
    <row r="37" spans="1:14" x14ac:dyDescent="0.3">
      <c r="A37" s="5"/>
      <c r="B37" s="5"/>
      <c r="C37" s="5"/>
      <c r="D37" s="5"/>
      <c r="E37" s="5"/>
      <c r="F37" s="5"/>
      <c r="G37" s="5"/>
      <c r="H37" s="5"/>
      <c r="I37" s="5"/>
      <c r="J37" s="5"/>
      <c r="K37" s="5"/>
      <c r="L37" s="5"/>
      <c r="M37" s="5"/>
      <c r="N37" s="5"/>
    </row>
    <row r="38" spans="1:14" x14ac:dyDescent="0.3">
      <c r="A38" s="5"/>
      <c r="B38" s="5"/>
      <c r="C38" s="5"/>
      <c r="D38" s="5"/>
      <c r="E38" s="5"/>
      <c r="F38" s="5"/>
      <c r="G38" s="5"/>
      <c r="H38" s="5"/>
      <c r="I38" s="5"/>
      <c r="J38" s="5"/>
      <c r="K38" s="5"/>
      <c r="L38" s="5"/>
      <c r="M38" s="5"/>
      <c r="N38" s="5"/>
    </row>
    <row r="39" spans="1:14" x14ac:dyDescent="0.3">
      <c r="A39" s="13"/>
      <c r="B39" s="13"/>
      <c r="C39" s="13"/>
      <c r="D39" s="5"/>
      <c r="E39" s="5"/>
      <c r="F39" s="5"/>
      <c r="G39" s="5"/>
      <c r="H39" s="5"/>
      <c r="I39" s="5"/>
      <c r="J39" s="5"/>
      <c r="K39" s="5"/>
      <c r="L39" s="5"/>
      <c r="M39" s="13"/>
      <c r="N39" s="13"/>
    </row>
    <row r="40" spans="1:14" x14ac:dyDescent="0.3">
      <c r="A40" s="13"/>
      <c r="B40" s="13"/>
      <c r="C40" s="13"/>
      <c r="D40" s="5"/>
      <c r="E40" s="5"/>
      <c r="F40" s="5"/>
      <c r="G40" s="5"/>
      <c r="H40" s="5"/>
      <c r="I40" s="5"/>
      <c r="J40" s="5"/>
      <c r="K40" s="5"/>
      <c r="L40" s="5"/>
      <c r="M40" s="13"/>
      <c r="N40" s="13"/>
    </row>
    <row r="41" spans="1:14" x14ac:dyDescent="0.3">
      <c r="A41" s="13"/>
      <c r="B41" s="13"/>
      <c r="C41" s="13"/>
      <c r="D41" s="5"/>
      <c r="E41" s="5"/>
      <c r="F41" s="5"/>
      <c r="G41" s="5"/>
      <c r="H41" s="5"/>
      <c r="I41" s="5"/>
      <c r="J41" s="5"/>
      <c r="K41" s="5"/>
      <c r="L41" s="5"/>
      <c r="M41" s="13"/>
      <c r="N41" s="13"/>
    </row>
    <row r="42" spans="1:14" x14ac:dyDescent="0.3">
      <c r="A42" s="5"/>
      <c r="B42" s="5"/>
      <c r="C42" s="5"/>
      <c r="D42" s="5"/>
      <c r="E42" s="5"/>
      <c r="F42" s="5"/>
      <c r="G42" s="5"/>
      <c r="H42" s="5"/>
      <c r="I42" s="5"/>
      <c r="J42" s="5"/>
      <c r="K42" s="5"/>
      <c r="L42" s="5"/>
      <c r="M42" s="5"/>
      <c r="N42" s="5"/>
    </row>
    <row r="43" spans="1:14" x14ac:dyDescent="0.3">
      <c r="A43" s="5"/>
      <c r="B43" s="5"/>
      <c r="C43" s="5"/>
      <c r="D43" s="5"/>
      <c r="E43" s="5"/>
      <c r="F43" s="5"/>
      <c r="G43" s="5"/>
      <c r="H43" s="5"/>
      <c r="I43" s="5"/>
      <c r="J43" s="5"/>
      <c r="K43" s="5"/>
      <c r="L43" s="5"/>
      <c r="M43" s="5"/>
      <c r="N43" s="5"/>
    </row>
    <row r="44" spans="1:14" x14ac:dyDescent="0.3">
      <c r="A44" s="5"/>
      <c r="B44" s="5"/>
      <c r="C44" s="5"/>
      <c r="D44" s="5"/>
      <c r="E44" s="5"/>
      <c r="F44" s="5"/>
      <c r="G44" s="5"/>
      <c r="H44" s="5"/>
      <c r="I44" s="5"/>
      <c r="J44" s="5"/>
      <c r="K44" s="5"/>
      <c r="L44" s="5"/>
      <c r="M44" s="5"/>
      <c r="N44" s="5"/>
    </row>
    <row r="45" spans="1:14" x14ac:dyDescent="0.3">
      <c r="A45" s="5"/>
      <c r="B45" s="5"/>
      <c r="C45" s="5"/>
      <c r="D45" s="5"/>
      <c r="E45" s="5"/>
      <c r="F45" s="5"/>
      <c r="G45" s="5"/>
      <c r="H45" s="5"/>
      <c r="I45" s="5"/>
      <c r="J45" s="5"/>
      <c r="K45" s="5"/>
      <c r="L45" s="5"/>
      <c r="M45" s="5"/>
      <c r="N45" s="5"/>
    </row>
    <row r="46" spans="1:14" x14ac:dyDescent="0.3">
      <c r="A46" s="5"/>
      <c r="B46" s="5"/>
      <c r="C46" s="5"/>
      <c r="D46" s="5"/>
      <c r="E46" s="5"/>
      <c r="F46" s="5"/>
      <c r="G46" s="5"/>
      <c r="H46" s="5"/>
      <c r="I46" s="5"/>
      <c r="J46" s="5"/>
      <c r="K46" s="5"/>
      <c r="L46" s="5"/>
      <c r="M46" s="5"/>
      <c r="N46" s="5"/>
    </row>
    <row r="47" spans="1:14" x14ac:dyDescent="0.3">
      <c r="A47" s="5"/>
      <c r="B47" s="5"/>
      <c r="C47" s="5"/>
      <c r="D47" s="5"/>
      <c r="E47" s="5"/>
      <c r="F47" s="5"/>
      <c r="G47" s="5"/>
      <c r="H47" s="5"/>
      <c r="I47" s="5"/>
      <c r="J47" s="5"/>
      <c r="K47" s="5"/>
      <c r="L47" s="5"/>
      <c r="M47" s="5"/>
      <c r="N47" s="5"/>
    </row>
    <row r="48" spans="1:14" x14ac:dyDescent="0.3">
      <c r="A48" s="5"/>
      <c r="B48" s="5"/>
      <c r="C48" s="5"/>
      <c r="D48" s="5"/>
      <c r="E48" s="5"/>
      <c r="F48" s="5"/>
      <c r="G48" s="5"/>
      <c r="H48" s="5"/>
      <c r="I48" s="5"/>
      <c r="J48" s="5"/>
      <c r="K48" s="5"/>
      <c r="L48" s="5"/>
      <c r="M48" s="5"/>
      <c r="N48" s="5"/>
    </row>
    <row r="49" spans="1:16" x14ac:dyDescent="0.3">
      <c r="A49" s="5"/>
      <c r="B49" s="5"/>
      <c r="C49" s="5"/>
      <c r="D49" s="5"/>
      <c r="E49" s="5"/>
      <c r="F49" s="5"/>
      <c r="G49" s="5"/>
      <c r="H49" s="5"/>
      <c r="I49" s="5"/>
      <c r="J49" s="5"/>
      <c r="K49" s="5"/>
      <c r="L49" s="5"/>
      <c r="M49" s="5"/>
      <c r="N49" s="5"/>
    </row>
    <row r="50" spans="1:16" x14ac:dyDescent="0.3">
      <c r="A50" s="5"/>
      <c r="B50" s="5"/>
      <c r="C50" s="5"/>
      <c r="D50" s="5"/>
      <c r="E50" s="5"/>
      <c r="F50" s="5"/>
      <c r="G50" s="5"/>
      <c r="H50" s="5"/>
      <c r="I50" s="5"/>
      <c r="J50" s="5"/>
      <c r="K50" s="5"/>
      <c r="L50" s="5"/>
      <c r="M50" s="5"/>
      <c r="N50" s="5"/>
    </row>
    <row r="51" spans="1:16" x14ac:dyDescent="0.3">
      <c r="A51" s="5"/>
      <c r="B51" s="5"/>
      <c r="C51" s="5"/>
      <c r="D51" s="5"/>
      <c r="E51" s="5"/>
      <c r="F51" s="5"/>
      <c r="G51" s="5"/>
      <c r="H51" s="5"/>
      <c r="I51" s="5"/>
      <c r="J51" s="5"/>
      <c r="K51" s="5"/>
      <c r="L51" s="5"/>
      <c r="M51" s="5"/>
      <c r="N51" s="5"/>
    </row>
    <row r="52" spans="1:16" x14ac:dyDescent="0.3">
      <c r="A52" s="5"/>
      <c r="B52" s="5"/>
      <c r="C52" s="5"/>
      <c r="D52" s="5"/>
      <c r="E52" s="5"/>
      <c r="F52" s="5"/>
      <c r="G52" s="5"/>
      <c r="H52" s="5"/>
      <c r="I52" s="5"/>
      <c r="J52" s="5"/>
      <c r="K52" s="5"/>
      <c r="L52" s="5"/>
      <c r="M52" s="5"/>
      <c r="N52" s="5"/>
    </row>
    <row r="53" spans="1:16" x14ac:dyDescent="0.3">
      <c r="A53" s="5"/>
      <c r="B53" s="5"/>
      <c r="C53" s="5"/>
      <c r="D53" s="5"/>
      <c r="E53" s="5"/>
      <c r="F53" s="5"/>
      <c r="G53" s="5"/>
      <c r="H53" s="5"/>
      <c r="I53" s="5"/>
      <c r="J53" s="5"/>
      <c r="K53" s="5"/>
      <c r="L53" s="5"/>
      <c r="M53" s="5"/>
      <c r="N53" s="5"/>
    </row>
    <row r="54" spans="1:16" x14ac:dyDescent="0.3">
      <c r="A54" s="5"/>
      <c r="B54" s="5"/>
      <c r="C54" s="5"/>
      <c r="D54" s="5"/>
      <c r="E54" s="5"/>
      <c r="F54" s="5"/>
      <c r="G54" s="5"/>
      <c r="H54" s="5"/>
      <c r="I54" s="5"/>
      <c r="J54" s="5"/>
      <c r="K54" s="5"/>
      <c r="L54" s="5"/>
      <c r="M54" s="5"/>
      <c r="N54" s="5"/>
    </row>
    <row r="55" spans="1:16" x14ac:dyDescent="0.3">
      <c r="A55" s="5"/>
      <c r="B55" s="5"/>
      <c r="C55" s="5"/>
      <c r="D55" s="5"/>
      <c r="E55" s="5"/>
      <c r="F55" s="5"/>
      <c r="G55" s="5"/>
      <c r="H55" s="5"/>
      <c r="I55" s="5"/>
      <c r="J55" s="5"/>
      <c r="K55" s="5"/>
      <c r="L55" s="5"/>
      <c r="M55" s="5"/>
      <c r="N55" s="5"/>
    </row>
    <row r="56" spans="1:16" x14ac:dyDescent="0.3">
      <c r="A56" s="5"/>
      <c r="B56" s="5"/>
      <c r="C56" s="5"/>
      <c r="D56" s="5"/>
      <c r="E56" s="5"/>
      <c r="F56" s="5"/>
      <c r="G56" s="5"/>
      <c r="H56" s="5"/>
      <c r="I56" s="5"/>
      <c r="J56" s="5"/>
      <c r="K56" s="5"/>
      <c r="L56" s="5"/>
      <c r="M56" s="5"/>
      <c r="N56" s="5"/>
    </row>
    <row r="57" spans="1:16" x14ac:dyDescent="0.3">
      <c r="A57" s="5"/>
      <c r="B57" s="5"/>
      <c r="C57" s="5"/>
      <c r="D57" s="5"/>
      <c r="E57" s="5"/>
      <c r="F57" s="5"/>
      <c r="G57" s="5"/>
      <c r="H57" s="5"/>
      <c r="I57" s="5"/>
      <c r="J57" s="5"/>
      <c r="K57" s="5"/>
      <c r="L57" s="5"/>
      <c r="M57" s="5"/>
      <c r="N57" s="5"/>
    </row>
    <row r="58" spans="1:16" x14ac:dyDescent="0.3">
      <c r="A58" s="5"/>
      <c r="B58" s="5"/>
      <c r="C58" s="5"/>
      <c r="D58" s="5"/>
      <c r="E58" s="5"/>
      <c r="F58" s="5"/>
      <c r="G58" s="5"/>
      <c r="H58" s="5"/>
      <c r="I58" s="5"/>
      <c r="J58" s="5"/>
      <c r="K58" s="5"/>
      <c r="L58" s="5"/>
      <c r="M58" s="5"/>
      <c r="N58" s="5"/>
    </row>
    <row r="59" spans="1:16" s="133" customFormat="1" x14ac:dyDescent="0.3">
      <c r="A59" s="5"/>
      <c r="B59" s="5"/>
      <c r="C59" s="5"/>
      <c r="D59" s="5"/>
      <c r="E59" s="5"/>
      <c r="F59" s="5"/>
      <c r="G59" s="5"/>
      <c r="H59" s="5"/>
      <c r="I59" s="5"/>
      <c r="J59" s="5"/>
      <c r="K59" s="5"/>
      <c r="L59" s="5"/>
      <c r="M59" s="5"/>
      <c r="N59" s="5"/>
      <c r="P59" s="222"/>
    </row>
    <row r="60" spans="1:16" x14ac:dyDescent="0.3">
      <c r="A60" s="5"/>
      <c r="B60" s="136"/>
      <c r="C60" s="119"/>
      <c r="D60" s="119"/>
      <c r="E60" s="119"/>
      <c r="F60" s="119"/>
      <c r="G60" s="119"/>
      <c r="H60" s="119"/>
      <c r="I60" s="119"/>
      <c r="J60" s="119"/>
      <c r="K60" s="119"/>
      <c r="L60" s="119"/>
      <c r="M60" s="119"/>
      <c r="N60" s="119"/>
    </row>
    <row r="61" spans="1:16" x14ac:dyDescent="0.3">
      <c r="A61" s="5" t="s">
        <v>29</v>
      </c>
      <c r="B61" s="17"/>
      <c r="C61" s="17"/>
      <c r="D61" s="17"/>
      <c r="E61" s="17"/>
      <c r="F61" s="17"/>
      <c r="G61" s="17"/>
      <c r="H61" s="17"/>
      <c r="I61" s="17"/>
      <c r="J61" s="17"/>
      <c r="K61" s="17"/>
      <c r="L61" s="17"/>
      <c r="M61" s="17"/>
      <c r="N61" s="17"/>
    </row>
    <row r="62" spans="1:16" x14ac:dyDescent="0.3">
      <c r="A62" s="27"/>
      <c r="B62" s="271"/>
      <c r="C62" s="102"/>
      <c r="D62" s="102"/>
      <c r="E62" s="102"/>
      <c r="F62" s="102"/>
      <c r="G62" s="102"/>
      <c r="H62" s="102"/>
      <c r="I62" s="102"/>
      <c r="J62" s="102"/>
      <c r="K62" s="102"/>
      <c r="L62" s="102"/>
      <c r="M62" s="102"/>
      <c r="N62" s="102"/>
      <c r="O62" s="264"/>
    </row>
    <row r="63" spans="1:16" x14ac:dyDescent="0.3">
      <c r="A63" s="27"/>
      <c r="B63" s="27"/>
      <c r="C63" s="27"/>
      <c r="D63" s="27"/>
      <c r="E63" s="27"/>
      <c r="F63" s="27"/>
      <c r="G63" s="27"/>
      <c r="H63" s="27"/>
      <c r="I63" s="27"/>
      <c r="J63" s="27"/>
      <c r="K63" s="27"/>
      <c r="L63" s="27"/>
      <c r="M63" s="27"/>
      <c r="N63" s="27"/>
      <c r="O63" s="264"/>
    </row>
    <row r="64" spans="1:16" x14ac:dyDescent="0.3">
      <c r="A64" s="27"/>
      <c r="B64" s="27"/>
      <c r="C64" s="27"/>
      <c r="D64" s="27"/>
      <c r="E64" s="27"/>
      <c r="F64" s="27"/>
      <c r="G64" s="27"/>
      <c r="H64" s="27"/>
      <c r="I64" s="27"/>
      <c r="J64" s="27"/>
      <c r="K64" s="27"/>
      <c r="L64" s="27"/>
      <c r="M64" s="27"/>
      <c r="N64" s="27"/>
      <c r="O64" s="264"/>
    </row>
    <row r="65" spans="1:15" x14ac:dyDescent="0.3">
      <c r="A65" s="27"/>
      <c r="B65" s="27"/>
      <c r="C65" s="27"/>
      <c r="D65" s="27"/>
      <c r="E65" s="27"/>
      <c r="F65" s="27"/>
      <c r="G65" s="27"/>
      <c r="H65" s="27"/>
      <c r="I65" s="27"/>
      <c r="J65" s="27"/>
      <c r="K65" s="27"/>
      <c r="L65" s="27"/>
      <c r="M65" s="27"/>
      <c r="N65" s="27"/>
      <c r="O65" s="264"/>
    </row>
    <row r="66" spans="1:15" x14ac:dyDescent="0.3">
      <c r="A66" s="27"/>
      <c r="B66" s="27"/>
      <c r="C66" s="27"/>
      <c r="D66" s="27"/>
      <c r="E66" s="27"/>
      <c r="F66" s="27"/>
      <c r="G66" s="27"/>
      <c r="H66" s="27"/>
      <c r="I66" s="27"/>
      <c r="J66" s="27"/>
      <c r="K66" s="27"/>
      <c r="L66" s="27"/>
      <c r="M66" s="27"/>
      <c r="N66" s="27"/>
      <c r="O66" s="264"/>
    </row>
    <row r="67" spans="1:15" x14ac:dyDescent="0.3">
      <c r="A67" s="27"/>
      <c r="B67" s="27"/>
      <c r="C67" s="27"/>
      <c r="D67" s="27"/>
      <c r="E67" s="27"/>
      <c r="F67" s="27"/>
      <c r="G67" s="27"/>
      <c r="H67" s="27"/>
      <c r="I67" s="27"/>
      <c r="J67" s="27"/>
      <c r="K67" s="27"/>
      <c r="L67" s="27"/>
      <c r="M67" s="27"/>
      <c r="N67" s="27"/>
      <c r="O67" s="264"/>
    </row>
    <row r="68" spans="1:15" x14ac:dyDescent="0.3">
      <c r="A68" s="27"/>
      <c r="B68" s="27"/>
      <c r="C68" s="27"/>
      <c r="D68" s="27"/>
      <c r="E68" s="27"/>
      <c r="F68" s="27"/>
      <c r="G68" s="27"/>
      <c r="H68" s="27"/>
      <c r="I68" s="27"/>
      <c r="J68" s="27"/>
      <c r="K68" s="27"/>
      <c r="L68" s="27"/>
      <c r="M68" s="27"/>
      <c r="N68" s="27"/>
      <c r="O68" s="264"/>
    </row>
    <row r="69" spans="1:15" x14ac:dyDescent="0.3">
      <c r="A69" s="27"/>
      <c r="B69" s="27"/>
      <c r="C69" s="27"/>
      <c r="D69" s="27"/>
      <c r="E69" s="27"/>
      <c r="F69" s="27"/>
      <c r="G69" s="27"/>
      <c r="H69" s="27"/>
      <c r="I69" s="27"/>
      <c r="J69" s="27"/>
      <c r="K69" s="27"/>
      <c r="L69" s="27"/>
      <c r="M69" s="27"/>
      <c r="N69" s="27"/>
      <c r="O69" s="264"/>
    </row>
    <row r="70" spans="1:15" x14ac:dyDescent="0.3">
      <c r="A70" s="102"/>
      <c r="B70" s="102"/>
      <c r="C70" s="102"/>
      <c r="D70" s="102"/>
      <c r="E70" s="102"/>
      <c r="F70" s="102"/>
      <c r="G70" s="102"/>
      <c r="H70" s="102"/>
      <c r="I70" s="102"/>
      <c r="J70" s="102"/>
      <c r="K70" s="102"/>
      <c r="L70" s="102"/>
      <c r="M70" s="102"/>
      <c r="N70" s="102"/>
      <c r="O70" s="264"/>
    </row>
    <row r="71" spans="1:15" x14ac:dyDescent="0.3">
      <c r="A71" s="102"/>
      <c r="B71" s="102"/>
      <c r="C71" s="102"/>
      <c r="D71" s="102"/>
      <c r="E71" s="102"/>
      <c r="F71" s="102"/>
      <c r="G71" s="102"/>
      <c r="H71" s="102"/>
      <c r="I71" s="102"/>
      <c r="J71" s="102"/>
      <c r="K71" s="102"/>
      <c r="L71" s="102"/>
      <c r="M71" s="102"/>
      <c r="N71" s="102"/>
      <c r="O71" s="264"/>
    </row>
    <row r="72" spans="1:15" x14ac:dyDescent="0.3">
      <c r="A72" s="102"/>
      <c r="B72" s="102"/>
      <c r="C72" s="102"/>
      <c r="D72" s="102"/>
      <c r="E72" s="102"/>
      <c r="F72" s="102"/>
      <c r="G72" s="102"/>
      <c r="H72" s="102"/>
      <c r="I72" s="102"/>
      <c r="J72" s="102"/>
      <c r="K72" s="102"/>
      <c r="L72" s="102"/>
      <c r="M72" s="102"/>
      <c r="N72" s="102"/>
      <c r="O72" s="264"/>
    </row>
    <row r="73" spans="1:15" x14ac:dyDescent="0.3">
      <c r="A73" s="27"/>
      <c r="B73" s="27"/>
      <c r="C73" s="27"/>
      <c r="D73" s="27"/>
      <c r="E73" s="27"/>
      <c r="F73" s="27"/>
      <c r="G73" s="27"/>
      <c r="H73" s="27"/>
      <c r="I73" s="27"/>
      <c r="J73" s="27"/>
      <c r="K73" s="27"/>
      <c r="L73" s="27"/>
      <c r="M73" s="27"/>
      <c r="N73" s="27"/>
      <c r="O73" s="264"/>
    </row>
    <row r="74" spans="1:15" x14ac:dyDescent="0.3">
      <c r="A74" s="27"/>
      <c r="B74" s="27"/>
      <c r="C74" s="27"/>
      <c r="D74" s="27"/>
      <c r="E74" s="27"/>
      <c r="F74" s="27"/>
      <c r="G74" s="27"/>
      <c r="H74" s="27"/>
      <c r="I74" s="27"/>
      <c r="J74" s="27"/>
      <c r="K74" s="27"/>
      <c r="L74" s="27"/>
      <c r="M74" s="27"/>
      <c r="N74" s="27"/>
      <c r="O74" s="264"/>
    </row>
    <row r="75" spans="1:15" x14ac:dyDescent="0.3">
      <c r="A75" s="27"/>
      <c r="B75" s="27"/>
      <c r="C75" s="27"/>
      <c r="D75" s="27"/>
      <c r="E75" s="27"/>
      <c r="F75" s="27"/>
      <c r="G75" s="27"/>
      <c r="H75" s="27"/>
      <c r="I75" s="27"/>
      <c r="J75" s="27"/>
      <c r="K75" s="27"/>
      <c r="L75" s="27"/>
      <c r="M75" s="27"/>
      <c r="N75" s="27"/>
      <c r="O75" s="264"/>
    </row>
    <row r="76" spans="1:15" x14ac:dyDescent="0.3">
      <c r="A76" s="27"/>
      <c r="B76" s="27"/>
      <c r="C76" s="27"/>
      <c r="D76" s="27"/>
      <c r="E76" s="27"/>
      <c r="F76" s="27"/>
      <c r="G76" s="27"/>
      <c r="H76" s="27"/>
      <c r="I76" s="27"/>
      <c r="J76" s="27"/>
      <c r="K76" s="27"/>
      <c r="L76" s="27"/>
      <c r="M76" s="27"/>
      <c r="N76" s="27"/>
      <c r="O76" s="264"/>
    </row>
    <row r="77" spans="1:15" x14ac:dyDescent="0.3">
      <c r="A77" s="27"/>
      <c r="B77" s="27"/>
      <c r="C77" s="27"/>
      <c r="D77" s="27"/>
      <c r="E77" s="27"/>
      <c r="F77" s="27"/>
      <c r="G77" s="27"/>
      <c r="H77" s="27"/>
      <c r="I77" s="27"/>
      <c r="J77" s="27"/>
      <c r="K77" s="27"/>
      <c r="L77" s="27"/>
      <c r="M77" s="27"/>
      <c r="N77" s="27"/>
      <c r="O77" s="264"/>
    </row>
    <row r="78" spans="1:15" x14ac:dyDescent="0.3">
      <c r="A78" s="27"/>
      <c r="B78" s="27"/>
      <c r="C78" s="27"/>
      <c r="D78" s="27"/>
      <c r="E78" s="27"/>
      <c r="F78" s="27"/>
      <c r="G78" s="27"/>
      <c r="H78" s="27"/>
      <c r="I78" s="27"/>
      <c r="J78" s="27"/>
      <c r="K78" s="27"/>
      <c r="L78" s="27"/>
      <c r="M78" s="27"/>
      <c r="N78" s="27"/>
      <c r="O78" s="264"/>
    </row>
    <row r="79" spans="1:15" x14ac:dyDescent="0.3">
      <c r="A79" s="27"/>
      <c r="B79" s="27"/>
      <c r="C79" s="27"/>
      <c r="D79" s="27"/>
      <c r="E79" s="27"/>
      <c r="F79" s="27"/>
      <c r="G79" s="27"/>
      <c r="H79" s="27"/>
      <c r="I79" s="27"/>
      <c r="J79" s="27"/>
      <c r="K79" s="27"/>
      <c r="L79" s="27"/>
      <c r="M79" s="27"/>
      <c r="N79" s="27"/>
      <c r="O79" s="264"/>
    </row>
    <row r="80" spans="1:15" x14ac:dyDescent="0.3">
      <c r="A80" s="27"/>
      <c r="B80" s="27"/>
      <c r="C80" s="27"/>
      <c r="D80" s="27"/>
      <c r="E80" s="27"/>
      <c r="F80" s="27"/>
      <c r="G80" s="27"/>
      <c r="H80" s="27"/>
      <c r="I80" s="27"/>
      <c r="J80" s="27"/>
      <c r="K80" s="27"/>
      <c r="L80" s="27"/>
      <c r="M80" s="27"/>
      <c r="N80" s="27"/>
      <c r="O80" s="264"/>
    </row>
    <row r="81" spans="1:15" x14ac:dyDescent="0.3">
      <c r="A81" s="27"/>
      <c r="B81" s="27"/>
      <c r="C81" s="27"/>
      <c r="D81" s="27"/>
      <c r="E81" s="27"/>
      <c r="F81" s="27"/>
      <c r="G81" s="27"/>
      <c r="H81" s="27"/>
      <c r="I81" s="27"/>
      <c r="J81" s="27"/>
      <c r="K81" s="27"/>
      <c r="L81" s="27"/>
      <c r="M81" s="27"/>
      <c r="N81" s="27"/>
      <c r="O81" s="264"/>
    </row>
    <row r="82" spans="1:15" x14ac:dyDescent="0.3">
      <c r="A82" s="27"/>
      <c r="B82" s="27"/>
      <c r="C82" s="27"/>
      <c r="D82" s="27"/>
      <c r="E82" s="27"/>
      <c r="F82" s="27"/>
      <c r="G82" s="27"/>
      <c r="H82" s="27"/>
      <c r="I82" s="27"/>
      <c r="J82" s="27"/>
      <c r="K82" s="27"/>
      <c r="L82" s="27"/>
      <c r="M82" s="27"/>
      <c r="N82" s="27"/>
      <c r="O82" s="264"/>
    </row>
    <row r="83" spans="1:15" x14ac:dyDescent="0.3">
      <c r="A83" s="27"/>
      <c r="B83" s="27"/>
      <c r="C83" s="27"/>
      <c r="D83" s="27"/>
      <c r="E83" s="27"/>
      <c r="F83" s="27"/>
      <c r="G83" s="27"/>
      <c r="H83" s="27"/>
      <c r="I83" s="27"/>
      <c r="J83" s="27"/>
      <c r="K83" s="27"/>
      <c r="L83" s="27"/>
      <c r="M83" s="27"/>
      <c r="N83" s="27"/>
      <c r="O83" s="264"/>
    </row>
    <row r="84" spans="1:15" x14ac:dyDescent="0.3">
      <c r="A84" s="27"/>
      <c r="B84" s="27"/>
      <c r="C84" s="27"/>
      <c r="D84" s="27"/>
      <c r="E84" s="27"/>
      <c r="F84" s="27"/>
      <c r="G84" s="27"/>
      <c r="H84" s="27"/>
      <c r="I84" s="27"/>
      <c r="J84" s="27"/>
      <c r="K84" s="27"/>
      <c r="L84" s="27"/>
      <c r="M84" s="27"/>
      <c r="N84" s="27"/>
      <c r="O84" s="264"/>
    </row>
    <row r="85" spans="1:15" x14ac:dyDescent="0.3">
      <c r="A85" s="27"/>
      <c r="B85" s="27"/>
      <c r="C85" s="27"/>
      <c r="D85" s="27"/>
      <c r="E85" s="27"/>
      <c r="F85" s="27"/>
      <c r="G85" s="27"/>
      <c r="H85" s="27"/>
      <c r="I85" s="27"/>
      <c r="J85" s="27"/>
      <c r="K85" s="27"/>
      <c r="L85" s="27"/>
      <c r="M85" s="27"/>
      <c r="N85" s="27"/>
      <c r="O85" s="264"/>
    </row>
    <row r="86" spans="1:15" x14ac:dyDescent="0.3">
      <c r="A86" s="27"/>
      <c r="B86" s="27"/>
      <c r="C86" s="27"/>
      <c r="D86" s="27"/>
      <c r="E86" s="27"/>
      <c r="F86" s="27"/>
      <c r="G86" s="27"/>
      <c r="H86" s="27"/>
      <c r="I86" s="27"/>
      <c r="J86" s="27"/>
      <c r="K86" s="27"/>
      <c r="L86" s="27"/>
      <c r="M86" s="27"/>
      <c r="N86" s="27"/>
      <c r="O86" s="264"/>
    </row>
    <row r="87" spans="1:15" x14ac:dyDescent="0.3">
      <c r="A87" s="27"/>
      <c r="B87" s="27"/>
      <c r="C87" s="27"/>
      <c r="D87" s="27"/>
      <c r="E87" s="27"/>
      <c r="F87" s="27"/>
      <c r="G87" s="27"/>
      <c r="H87" s="27"/>
      <c r="I87" s="27"/>
      <c r="J87" s="27"/>
      <c r="K87" s="27"/>
      <c r="L87" s="27"/>
      <c r="M87" s="27"/>
      <c r="N87" s="27"/>
      <c r="O87" s="264"/>
    </row>
    <row r="88" spans="1:15" x14ac:dyDescent="0.3">
      <c r="A88" s="27"/>
      <c r="B88" s="27"/>
      <c r="C88" s="27"/>
      <c r="D88" s="27"/>
      <c r="E88" s="27"/>
      <c r="F88" s="27"/>
      <c r="G88" s="27"/>
      <c r="H88" s="27"/>
      <c r="I88" s="27"/>
      <c r="J88" s="27"/>
      <c r="K88" s="27"/>
      <c r="L88" s="27"/>
      <c r="M88" s="27"/>
      <c r="N88" s="27"/>
      <c r="O88" s="264"/>
    </row>
    <row r="89" spans="1:15" x14ac:dyDescent="0.3">
      <c r="A89" s="27"/>
      <c r="B89" s="272"/>
      <c r="C89" s="27"/>
      <c r="D89" s="27"/>
      <c r="E89" s="27"/>
      <c r="F89" s="27"/>
      <c r="G89" s="27"/>
      <c r="H89" s="27"/>
      <c r="I89" s="27"/>
      <c r="J89" s="27"/>
      <c r="K89" s="27"/>
      <c r="L89" s="27"/>
      <c r="M89" s="27"/>
      <c r="N89" s="27"/>
      <c r="O89" s="264"/>
    </row>
    <row r="90" spans="1:15" x14ac:dyDescent="0.3">
      <c r="A90" s="27"/>
      <c r="B90" s="273"/>
      <c r="C90" s="27"/>
      <c r="D90" s="27"/>
      <c r="E90" s="27"/>
      <c r="F90" s="27"/>
      <c r="G90" s="27"/>
      <c r="H90" s="27"/>
      <c r="I90" s="27"/>
      <c r="J90" s="27"/>
      <c r="K90" s="27"/>
      <c r="L90" s="27"/>
      <c r="M90" s="27"/>
      <c r="N90" s="27"/>
      <c r="O90" s="264"/>
    </row>
    <row r="91" spans="1:15" x14ac:dyDescent="0.3">
      <c r="A91" s="272"/>
      <c r="B91" s="272"/>
      <c r="C91" s="272"/>
      <c r="D91" s="272"/>
      <c r="E91" s="272"/>
      <c r="F91" s="272"/>
      <c r="G91" s="272"/>
      <c r="H91" s="272"/>
      <c r="I91" s="272"/>
      <c r="J91" s="272"/>
      <c r="K91" s="272"/>
      <c r="L91" s="272"/>
      <c r="M91" s="272"/>
      <c r="N91" s="272"/>
      <c r="O91" s="264"/>
    </row>
  </sheetData>
  <printOptions horizontalCentered="1"/>
  <pageMargins left="0.2" right="0.2" top="0.2" bottom="0.2" header="0.3" footer="0.1"/>
  <pageSetup paperSize="9" scale="90" orientation="landscape" r:id="rId1"/>
  <headerFooter>
    <oddFooter>&amp;L&amp;"Open Sans,Bold"&amp;9Financial &amp; Operating Performance Analysis&amp;C&amp;"Open Sans,Bold"&amp;9Page &amp;P&amp;R&amp;"Open Sans,Bold"&amp;9Prepared by Roumkos Ioannis</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21</vt:i4>
      </vt:variant>
    </vt:vector>
  </HeadingPairs>
  <TitlesOfParts>
    <vt:vector size="33" baseType="lpstr">
      <vt:lpstr>Cover</vt:lpstr>
      <vt:lpstr>Dashboard</vt:lpstr>
      <vt:lpstr>Statement of Income</vt:lpstr>
      <vt:lpstr>Statement of Financial Position</vt:lpstr>
      <vt:lpstr>Statement of Cash Flows</vt:lpstr>
      <vt:lpstr>Segment Analysis</vt:lpstr>
      <vt:lpstr>Mobility Analysis</vt:lpstr>
      <vt:lpstr>Capital Intensity</vt:lpstr>
      <vt:lpstr>ROIC Analysis</vt:lpstr>
      <vt:lpstr>Operating Data</vt:lpstr>
      <vt:lpstr>Peer Comparison</vt:lpstr>
      <vt:lpstr>Outlook &amp; Valuation</vt:lpstr>
      <vt:lpstr>'Capital Intensity'!Print_Area</vt:lpstr>
      <vt:lpstr>Cover!Print_Area</vt:lpstr>
      <vt:lpstr>Dashboard!Print_Area</vt:lpstr>
      <vt:lpstr>'Mobility Analysis'!Print_Area</vt:lpstr>
      <vt:lpstr>'Operating Data'!Print_Area</vt:lpstr>
      <vt:lpstr>'Outlook &amp; Valuation'!Print_Area</vt:lpstr>
      <vt:lpstr>'Peer Comparison'!Print_Area</vt:lpstr>
      <vt:lpstr>'ROIC Analysis'!Print_Area</vt:lpstr>
      <vt:lpstr>'Segment Analysis'!Print_Area</vt:lpstr>
      <vt:lpstr>'Statement of Cash Flows'!Print_Area</vt:lpstr>
      <vt:lpstr>'Statement of Financial Position'!Print_Area</vt:lpstr>
      <vt:lpstr>'Statement of Income'!Print_Area</vt:lpstr>
      <vt:lpstr>'Capital Intensity'!Print_Titles</vt:lpstr>
      <vt:lpstr>'Mobility Analysis'!Print_Titles</vt:lpstr>
      <vt:lpstr>'Operating Data'!Print_Titles</vt:lpstr>
      <vt:lpstr>'Outlook &amp; Valuation'!Print_Titles</vt:lpstr>
      <vt:lpstr>'Peer Comparison'!Print_Titles</vt:lpstr>
      <vt:lpstr>'ROIC Analysis'!Print_Titles</vt:lpstr>
      <vt:lpstr>'Segment Analysis'!Print_Titles</vt:lpstr>
      <vt:lpstr>'Statement of Cash Flows'!Print_Titles</vt:lpstr>
      <vt:lpstr>'Statement of Financial Position'!Print_Titles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Ioannis Roumkos</cp:lastModifiedBy>
  <cp:lastPrinted>2026-10-08T15:52:39Z</cp:lastPrinted>
  <dcterms:created xsi:type="dcterms:W3CDTF">2026-09-12T15:14:39Z</dcterms:created>
  <dcterms:modified xsi:type="dcterms:W3CDTF">2026-10-08T16:07:26Z</dcterms:modified>
</cp:coreProperties>
</file>